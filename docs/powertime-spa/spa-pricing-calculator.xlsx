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افتراضات" sheetId="1" state="visible" r:id="rId3"/>
    <sheet name="الخدمات" sheetId="2" state="visible" r:id="rId4"/>
    <sheet name="الباقات" sheetId="3" state="visible" r:id="rId5"/>
    <sheet name="السيناريوهات" sheetId="4" state="visible" r:id="rId6"/>
    <sheet name="السعة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<sst xmlns="http://schemas.openxmlformats.org/spreadsheetml/2006/main" count="162" uniqueCount="138">
  <si>
    <t xml:space="preserve">الافتراضات — غيّر الأرقام الزرقاء فقط</t>
  </si>
  <si>
    <t xml:space="preserve">الخلايا الصفراء هي المدخلات الرئيسية. كل الأوراق الأخرى تقرأ من هنا.</t>
  </si>
  <si>
    <t xml:space="preserve">البند</t>
  </si>
  <si>
    <t xml:space="preserve">القيمة</t>
  </si>
  <si>
    <t xml:space="preserve">ملاحظة</t>
  </si>
  <si>
    <t xml:space="preserve">نسبة المعالج من قيمة الجلسة</t>
  </si>
  <si>
    <t xml:space="preserve">تُطبق على المساج والحجامة والحمام المغربي. في الباقات تُطبق على القيمة المخصصة بعد الخصم (الخيار أ في الاستراتيجية 2.1).</t>
  </si>
  <si>
    <t xml:space="preserve">الحد الأدنى للمساهمة الإجمالية لأي عرض</t>
  </si>
  <si>
    <t xml:space="preserve">أي عرض تحته يظهر بعلامة (مرفوض) في ورقة الباقات.</t>
  </si>
  <si>
    <t xml:space="preserve">مستهلكات الحجامة الكاملة (ج/جلسة)</t>
  </si>
  <si>
    <t xml:space="preserve">كاسات، مشارط، قفازات، تعقيم — تقدير المالك</t>
  </si>
  <si>
    <t xml:space="preserve">مستهلكات الحجامة النارية (ج/جلسة)</t>
  </si>
  <si>
    <t xml:space="preserve">مستهلكات المساج الكلي (ج/جلسة)</t>
  </si>
  <si>
    <t xml:space="preserve">زيوت + غسيل فوط</t>
  </si>
  <si>
    <t xml:space="preserve">مستهلكات المساج الجزئي (ج/جلسة)</t>
  </si>
  <si>
    <t xml:space="preserve">مستهلكات الحمام المغربي (ج/جلسة)</t>
  </si>
  <si>
    <t xml:space="preserve">صابون مغربي، كيس، طين، فوط</t>
  </si>
  <si>
    <t xml:space="preserve">تشغيل السبا الكاملة (ج/جلسة)</t>
  </si>
  <si>
    <t xml:space="preserve">كهرباء + مياه + فوط. لا معالج.</t>
  </si>
  <si>
    <t xml:space="preserve">تشغيل السبا الواحدة (ج/جلسة)</t>
  </si>
  <si>
    <t xml:space="preserve">الميزانية الإعلانية الشهرية (ج)</t>
  </si>
  <si>
    <t xml:space="preserve">تُستخدم في ورقة السيناريوهات</t>
  </si>
  <si>
    <t xml:space="preserve">العربون الافتراضي (ج)</t>
  </si>
  <si>
    <t xml:space="preserve">150 للحمام المغربي والعرسان</t>
  </si>
  <si>
    <t xml:space="preserve">الدليل: أزرق = مدخل يمكن تغييره · أسود = معادلة لا تُلمس · أخضر = مرجع من ورقة أخرى · أصفر = مدخل رئيسي</t>
  </si>
  <si>
    <t xml:space="preserve">هامش كل خدمة مفردة</t>
  </si>
  <si>
    <t xml:space="preserve">السعر والحاجة لمعالج مدخلات (أزرق). الباقي معادلات.</t>
  </si>
  <si>
    <t xml:space="preserve">الخدمة</t>
  </si>
  <si>
    <t xml:space="preserve">السعر</t>
  </si>
  <si>
    <t xml:space="preserve">يحتاج معالج (1/0)</t>
  </si>
  <si>
    <t xml:space="preserve">أجر المعالج</t>
  </si>
  <si>
    <t xml:space="preserve">مستهلكات/تشغيل</t>
  </si>
  <si>
    <t xml:space="preserve">المساهمة</t>
  </si>
  <si>
    <t xml:space="preserve">الهامش</t>
  </si>
  <si>
    <t xml:space="preserve">الحالة</t>
  </si>
  <si>
    <t xml:space="preserve">سبا واحدة</t>
  </si>
  <si>
    <t xml:space="preserve">سبا كاملة</t>
  </si>
  <si>
    <t xml:space="preserve">مساج جزئي (30 د)</t>
  </si>
  <si>
    <t xml:space="preserve">مساج كلي (60 د)</t>
  </si>
  <si>
    <t xml:space="preserve">حجامة نارية</t>
  </si>
  <si>
    <t xml:space="preserve">حجامة كاملة</t>
  </si>
  <si>
    <t xml:space="preserve">حمام مغربي</t>
  </si>
  <si>
    <t xml:space="preserve">ملاحظة: سعر الحمام المغربي بانتظار مسح المنافسين (الاستراتيجية القسم 9).</t>
  </si>
  <si>
    <t xml:space="preserve">الباقات والعروض — القيمة المفردة، التوفير، والهامش الحقيقي</t>
  </si>
  <si>
    <t xml:space="preserve">الأعمدة C:I = عدد الجلسات من كل خدمة داخل الباقة (أزرق). السعر (J) مدخل. أجر المعالج يُحسب على القيمة المخصصة بعد الخصم.</t>
  </si>
  <si>
    <t xml:space="preserve">الباقة / العرض</t>
  </si>
  <si>
    <t xml:space="preserve">النوع</t>
  </si>
  <si>
    <t xml:space="preserve">القيمة المفردة</t>
  </si>
  <si>
    <t xml:space="preserve">التوفير</t>
  </si>
  <si>
    <t xml:space="preserve">التوفير %</t>
  </si>
  <si>
    <t xml:space="preserve">أجر المعالجين</t>
  </si>
  <si>
    <t xml:space="preserve">مستهلكات</t>
  </si>
  <si>
    <t xml:space="preserve">تجربة السبا الكاملة</t>
  </si>
  <si>
    <t xml:space="preserve">تعارف</t>
  </si>
  <si>
    <t xml:space="preserve">استرخاء سريع</t>
  </si>
  <si>
    <t xml:space="preserve">تنشيط</t>
  </si>
  <si>
    <t xml:space="preserve">ريلاكس (البرونزية)</t>
  </si>
  <si>
    <t xml:space="preserve">باقة</t>
  </si>
  <si>
    <t xml:space="preserve">بالانس (الفضية) ⭐</t>
  </si>
  <si>
    <t xml:space="preserve">فل ريكفري (الذهبية)</t>
  </si>
  <si>
    <t xml:space="preserve">كورس الحجامة ×3</t>
  </si>
  <si>
    <t xml:space="preserve">كورس</t>
  </si>
  <si>
    <t xml:space="preserve">باقة المساج ×4</t>
  </si>
  <si>
    <t xml:space="preserve">اشتراك سبا 8</t>
  </si>
  <si>
    <t xml:space="preserve">اشتراك</t>
  </si>
  <si>
    <t xml:space="preserve">اشتراك سبا 12</t>
  </si>
  <si>
    <t xml:space="preserve">ريكفري لعضو الجيم (شهري)</t>
  </si>
  <si>
    <t xml:space="preserve">ثنائي بالانس ×2</t>
  </si>
  <si>
    <t xml:space="preserve">ثنائي</t>
  </si>
  <si>
    <t xml:space="preserve">باقة العرسان</t>
  </si>
  <si>
    <t xml:space="preserve">خاص</t>
  </si>
  <si>
    <t xml:space="preserve">قسائم الشركات ×10 بالانس</t>
  </si>
  <si>
    <t xml:space="preserve">شركات</t>
  </si>
  <si>
    <t xml:space="preserve">(الحالية) الذهبية 1300</t>
  </si>
  <si>
    <t xml:space="preserve">مقارنة</t>
  </si>
  <si>
    <t xml:space="preserve">(الحالية) الفضية 1000</t>
  </si>
  <si>
    <t xml:space="preserve">(الحالية) البرونزية 850</t>
  </si>
  <si>
    <t xml:space="preserve">الصفوف الرمادية = الباقات الحالية للمقارنة (لاحظ التوفير صفر أو سالب).</t>
  </si>
  <si>
    <t xml:space="preserve">أجر المعالجين = مجموع أجر الجلسات المفردة × (سعر الباقة ÷ القيمة المفردة). لو اعتمدت الخيار ب (أجر ثابت) عدّل العمود N يدوياً.</t>
  </si>
  <si>
    <t xml:space="preserve">نموذج عائد الحملة — ثلاث سيناريوهات</t>
  </si>
  <si>
    <t xml:space="preserve">الأزرق مدخلات. الميزانية تُقرأ من الافتراضات. النتائج معادلات.</t>
  </si>
  <si>
    <t xml:space="preserve">المؤشر</t>
  </si>
  <si>
    <t xml:space="preserve">متحفظ</t>
  </si>
  <si>
    <t xml:space="preserve">متوسط</t>
  </si>
  <si>
    <t xml:space="preserve">طموح</t>
  </si>
  <si>
    <t xml:space="preserve">الميزانية الإعلانية الشهرية</t>
  </si>
  <si>
    <t xml:space="preserve">من ورقة الافتراضات</t>
  </si>
  <si>
    <t xml:space="preserve">تكلفة الليد CPL</t>
  </si>
  <si>
    <t xml:space="preserve">رسائل/واتساب لخدمة محلية في مصر</t>
  </si>
  <si>
    <t xml:space="preserve">نسبة الوصول (رد فعلي)</t>
  </si>
  <si>
    <t xml:space="preserve">يتحكم فيها الكول سنتر</t>
  </si>
  <si>
    <t xml:space="preserve">نسبة الحجز من الواصلين</t>
  </si>
  <si>
    <t xml:space="preserve">نسبة الحضور (مع عربون)</t>
  </si>
  <si>
    <t xml:space="preserve">بدون عربون توقّع 40-50%</t>
  </si>
  <si>
    <t xml:space="preserve">متوسط تذكرة الزيارة الأولى</t>
  </si>
  <si>
    <t xml:space="preserve">مزيج عروض التعارف</t>
  </si>
  <si>
    <t xml:space="preserve">نسبة الترقية لباقة/كورس في نفس الزيارة</t>
  </si>
  <si>
    <t xml:space="preserve">متوسط قيمة الباقة/الكورس</t>
  </si>
  <si>
    <t xml:space="preserve">نسبة المساهمة الإجمالية</t>
  </si>
  <si>
    <t xml:space="preserve">متوسط مرجّح من ورقة الباقات</t>
  </si>
  <si>
    <t xml:space="preserve">زيارات متكررة للعميل خلال 6 شهور</t>
  </si>
  <si>
    <t xml:space="preserve">لحساب LTV</t>
  </si>
  <si>
    <t xml:space="preserve">متوسط إنفاق الزيارة المتكررة</t>
  </si>
  <si>
    <t xml:space="preserve">النتائج</t>
  </si>
  <si>
    <t xml:space="preserve">عدد الليدز</t>
  </si>
  <si>
    <t xml:space="preserve">ليدز تم الوصول إليها</t>
  </si>
  <si>
    <t xml:space="preserve">حجوزات</t>
  </si>
  <si>
    <t xml:space="preserve">جلسات أولى فعلية (حضور)</t>
  </si>
  <si>
    <t xml:space="preserve">إيراد الزيارات الأولى</t>
  </si>
  <si>
    <t xml:space="preserve">باقات/كورسات مباعة</t>
  </si>
  <si>
    <t xml:space="preserve">إيراد الباقات</t>
  </si>
  <si>
    <t xml:space="preserve">إجمالي إيراد الشهر الأول</t>
  </si>
  <si>
    <t xml:space="preserve">المساهمة الإجمالية</t>
  </si>
  <si>
    <t xml:space="preserve">صافي بعد الإعلان</t>
  </si>
  <si>
    <t xml:space="preserve">تكلفة اكتساب العميل CAC</t>
  </si>
  <si>
    <t xml:space="preserve">قيمة العميل 6 شهور LTV</t>
  </si>
  <si>
    <t xml:space="preserve">LTV ÷ CAC</t>
  </si>
  <si>
    <t xml:space="preserve">الهدف: LTV ÷ CAC ≥ 5 في السيناريو المتوسط. لو الجلسات الأولى تتجاوز طاقة المعالجين (ورقة السعة) فالحل معالج إضافي لا خصم.</t>
  </si>
  <si>
    <t xml:space="preserve">طاقة القسم الشهرية</t>
  </si>
  <si>
    <t xml:space="preserve">املأ أرقامك الحقيقية (أزرق). الأرقام الحالية مثال افتراضي.</t>
  </si>
  <si>
    <t xml:space="preserve">عدد غرف/أسرّة المساج والحجامة</t>
  </si>
  <si>
    <t xml:space="preserve">مثال</t>
  </si>
  <si>
    <t xml:space="preserve">ساعات التشغيل اليومية</t>
  </si>
  <si>
    <t xml:space="preserve">مثال: 12 ظهراً - 10 مساءً</t>
  </si>
  <si>
    <t xml:space="preserve">أيام التشغيل في الشهر</t>
  </si>
  <si>
    <t xml:space="preserve">متوسط مدة الجلسة بالساعة (شاملة 15 د تجهيز)</t>
  </si>
  <si>
    <t xml:space="preserve">مساج 60 د + 15 د</t>
  </si>
  <si>
    <t xml:space="preserve">الإشغال المستهدف</t>
  </si>
  <si>
    <t xml:space="preserve">60-70% صحي؛ فوق 75% باستمرار = وقت لمعالج إضافي</t>
  </si>
  <si>
    <t xml:space="preserve">عدد الأشخاص المتزامنين في السبا</t>
  </si>
  <si>
    <t xml:space="preserve">ساونا + بخار + جاكوزي</t>
  </si>
  <si>
    <t xml:space="preserve">مدة فترة السبا بالساعة</t>
  </si>
  <si>
    <t xml:space="preserve">الطاقة القصوى لجلسات المعالج شهرياً</t>
  </si>
  <si>
    <t xml:space="preserve">جلسات المعالج عند الإشغال المستهدف</t>
  </si>
  <si>
    <t xml:space="preserve">الطاقة القصوى لجلسات السبا شهرياً</t>
  </si>
  <si>
    <t xml:space="preserve">جلسات السبا عند الإشغال المستهدف</t>
  </si>
  <si>
    <t xml:space="preserve">إيراد خدمات المعالج المتوقع عند الهدف (بمتوسط تذكرة 500)</t>
  </si>
  <si>
    <t xml:space="preserve">الـ 500 افتراض متوسط تذكرة مساج/حجامة — عدّله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</si>
</sst>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&quot; ج&quot;;\(#,##0&quot; ج)&quot;;\-"/>
    <numFmt numFmtId="167" formatCode="#,##0;\(#,##0\);\-"/>
    <numFmt numFmtId="168" formatCode="0.0\x"/>
    <numFmt numFmtId="169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55555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8F0E8"/>
        <bgColor rgb="FFF2F2F2"/>
      </patternFill>
    </fill>
    <fill>
      <patternFill patternType="solid">
        <fgColor rgb="FFF2F2F2"/>
        <bgColor rgb="FFE8F0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E8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26.85" hidden="false" customHeight="false" outlineLevel="0" collapsed="false">
      <c r="A5" s="4" t="s">
        <v>5</v>
      </c>
      <c r="B5" s="5" t="n">
        <v>0.4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v>0.35</v>
      </c>
      <c r="C6" s="6" t="s">
        <v>8</v>
      </c>
    </row>
    <row r="7" customFormat="false" ht="15" hidden="false" customHeight="false" outlineLevel="0" collapsed="false">
      <c r="A7" s="4" t="s">
        <v>9</v>
      </c>
      <c r="B7" s="7" t="n">
        <v>50</v>
      </c>
      <c r="C7" s="6" t="s">
        <v>10</v>
      </c>
    </row>
    <row r="8" customFormat="false" ht="15" hidden="false" customHeight="false" outlineLevel="0" collapsed="false">
      <c r="A8" s="4" t="s">
        <v>11</v>
      </c>
      <c r="B8" s="7" t="n">
        <v>20</v>
      </c>
      <c r="C8" s="6"/>
    </row>
    <row r="9" customFormat="false" ht="15" hidden="false" customHeight="false" outlineLevel="0" collapsed="false">
      <c r="A9" s="4" t="s">
        <v>12</v>
      </c>
      <c r="B9" s="7" t="n">
        <v>25</v>
      </c>
      <c r="C9" s="6" t="s">
        <v>13</v>
      </c>
    </row>
    <row r="10" customFormat="false" ht="15" hidden="false" customHeight="false" outlineLevel="0" collapsed="false">
      <c r="A10" s="4" t="s">
        <v>14</v>
      </c>
      <c r="B10" s="7" t="n">
        <v>15</v>
      </c>
      <c r="C10" s="6"/>
    </row>
    <row r="11" customFormat="false" ht="15" hidden="false" customHeight="false" outlineLevel="0" collapsed="false">
      <c r="A11" s="4" t="s">
        <v>15</v>
      </c>
      <c r="B11" s="7" t="n">
        <v>120</v>
      </c>
      <c r="C11" s="6" t="s">
        <v>16</v>
      </c>
    </row>
    <row r="12" customFormat="false" ht="15" hidden="false" customHeight="false" outlineLevel="0" collapsed="false">
      <c r="A12" s="4" t="s">
        <v>17</v>
      </c>
      <c r="B12" s="7" t="n">
        <v>40</v>
      </c>
      <c r="C12" s="6" t="s">
        <v>18</v>
      </c>
    </row>
    <row r="13" customFormat="false" ht="15" hidden="false" customHeight="false" outlineLevel="0" collapsed="false">
      <c r="A13" s="4" t="s">
        <v>19</v>
      </c>
      <c r="B13" s="7" t="n">
        <v>20</v>
      </c>
      <c r="C13" s="6"/>
    </row>
    <row r="14" customFormat="false" ht="15" hidden="false" customHeight="false" outlineLevel="0" collapsed="false">
      <c r="A14" s="4" t="s">
        <v>20</v>
      </c>
      <c r="B14" s="7" t="n">
        <v>15000</v>
      </c>
      <c r="C14" s="6" t="s">
        <v>21</v>
      </c>
    </row>
    <row r="15" customFormat="false" ht="15" hidden="false" customHeight="false" outlineLevel="0" collapsed="false">
      <c r="A15" s="4" t="s">
        <v>22</v>
      </c>
      <c r="B15" s="7" t="n">
        <v>100</v>
      </c>
      <c r="C15" s="6" t="s">
        <v>23</v>
      </c>
    </row>
    <row r="18" customFormat="false" ht="15" hidden="false" customHeight="false" outlineLevel="0" collapsed="false">
      <c r="A18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31.5" hidden="false" customHeight="true" outlineLevel="0" collapsed="false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</row>
    <row r="5" customFormat="false" ht="15" hidden="false" customHeight="false" outlineLevel="0" collapsed="false">
      <c r="A5" s="4" t="s">
        <v>35</v>
      </c>
      <c r="B5" s="7" t="n">
        <v>150</v>
      </c>
      <c r="C5" s="8" t="n">
        <v>0</v>
      </c>
      <c r="D5" s="9" t="n">
        <f aca="false">B5*C5*الافتراضات!$B$5</f>
        <v>0</v>
      </c>
      <c r="E5" s="10" t="n">
        <f aca="false">الافتراضات!$B$13</f>
        <v>20</v>
      </c>
      <c r="F5" s="9" t="n">
        <f aca="false">B5-D5-E5</f>
        <v>130</v>
      </c>
      <c r="G5" s="11" t="n">
        <f aca="false">IF(B5=0,0,F5/B5)</f>
        <v>0.866666666666667</v>
      </c>
      <c r="H5" s="12" t="str">
        <f aca="false">IF(G5&gt;=الافتراضات!$B$6,"مقبول","مرفوض")</f>
        <v>مقبول</v>
      </c>
    </row>
    <row r="6" customFormat="false" ht="15" hidden="false" customHeight="false" outlineLevel="0" collapsed="false">
      <c r="A6" s="4" t="s">
        <v>36</v>
      </c>
      <c r="B6" s="7" t="n">
        <v>400</v>
      </c>
      <c r="C6" s="8" t="n">
        <v>0</v>
      </c>
      <c r="D6" s="9" t="n">
        <f aca="false">B6*C6*الافتراضات!$B$5</f>
        <v>0</v>
      </c>
      <c r="E6" s="10" t="n">
        <f aca="false">الافتراضات!$B$12</f>
        <v>40</v>
      </c>
      <c r="F6" s="9" t="n">
        <f aca="false">B6-D6-E6</f>
        <v>360</v>
      </c>
      <c r="G6" s="11" t="n">
        <f aca="false">IF(B6=0,0,F6/B6)</f>
        <v>0.9</v>
      </c>
      <c r="H6" s="12" t="str">
        <f aca="false">IF(G6&gt;=الافتراضات!$B$6,"مقبول","مرفوض")</f>
        <v>مقبول</v>
      </c>
    </row>
    <row r="7" customFormat="false" ht="15" hidden="false" customHeight="false" outlineLevel="0" collapsed="false">
      <c r="A7" s="4" t="s">
        <v>37</v>
      </c>
      <c r="B7" s="7" t="n">
        <v>300</v>
      </c>
      <c r="C7" s="8" t="n">
        <v>1</v>
      </c>
      <c r="D7" s="9" t="n">
        <f aca="false">B7*C7*الافتراضات!$B$5</f>
        <v>120</v>
      </c>
      <c r="E7" s="10" t="n">
        <f aca="false">الافتراضات!$B$10</f>
        <v>15</v>
      </c>
      <c r="F7" s="9" t="n">
        <f aca="false">B7-D7-E7</f>
        <v>165</v>
      </c>
      <c r="G7" s="11" t="n">
        <f aca="false">IF(B7=0,0,F7/B7)</f>
        <v>0.55</v>
      </c>
      <c r="H7" s="12" t="str">
        <f aca="false">IF(G7&gt;=الافتراضات!$B$6,"مقبول","مرفوض")</f>
        <v>مقبول</v>
      </c>
    </row>
    <row r="8" customFormat="false" ht="15" hidden="false" customHeight="false" outlineLevel="0" collapsed="false">
      <c r="A8" s="4" t="s">
        <v>38</v>
      </c>
      <c r="B8" s="7" t="n">
        <v>500</v>
      </c>
      <c r="C8" s="8" t="n">
        <v>1</v>
      </c>
      <c r="D8" s="9" t="n">
        <f aca="false">B8*C8*الافتراضات!$B$5</f>
        <v>200</v>
      </c>
      <c r="E8" s="10" t="n">
        <f aca="false">الافتراضات!$B$9</f>
        <v>25</v>
      </c>
      <c r="F8" s="9" t="n">
        <f aca="false">B8-D8-E8</f>
        <v>275</v>
      </c>
      <c r="G8" s="11" t="n">
        <f aca="false">IF(B8=0,0,F8/B8)</f>
        <v>0.55</v>
      </c>
      <c r="H8" s="12" t="str">
        <f aca="false">IF(G8&gt;=الافتراضات!$B$6,"مقبول","مرفوض")</f>
        <v>مقبول</v>
      </c>
    </row>
    <row r="9" customFormat="false" ht="15" hidden="false" customHeight="false" outlineLevel="0" collapsed="false">
      <c r="A9" s="4" t="s">
        <v>39</v>
      </c>
      <c r="B9" s="7" t="n">
        <v>200</v>
      </c>
      <c r="C9" s="8" t="n">
        <v>1</v>
      </c>
      <c r="D9" s="9" t="n">
        <f aca="false">B9*C9*الافتراضات!$B$5</f>
        <v>80</v>
      </c>
      <c r="E9" s="10" t="n">
        <f aca="false">الافتراضات!$B$8</f>
        <v>20</v>
      </c>
      <c r="F9" s="9" t="n">
        <f aca="false">B9-D9-E9</f>
        <v>100</v>
      </c>
      <c r="G9" s="11" t="n">
        <f aca="false">IF(B9=0,0,F9/B9)</f>
        <v>0.5</v>
      </c>
      <c r="H9" s="12" t="str">
        <f aca="false">IF(G9&gt;=الافتراضات!$B$6,"مقبول","مرفوض")</f>
        <v>مقبول</v>
      </c>
    </row>
    <row r="10" customFormat="false" ht="15" hidden="false" customHeight="false" outlineLevel="0" collapsed="false">
      <c r="A10" s="4" t="s">
        <v>40</v>
      </c>
      <c r="B10" s="7" t="n">
        <v>550</v>
      </c>
      <c r="C10" s="8" t="n">
        <v>1</v>
      </c>
      <c r="D10" s="9" t="n">
        <f aca="false">B10*C10*الافتراضات!$B$5</f>
        <v>220</v>
      </c>
      <c r="E10" s="10" t="n">
        <f aca="false">الافتراضات!$B$7</f>
        <v>50</v>
      </c>
      <c r="F10" s="9" t="n">
        <f aca="false">B10-D10-E10</f>
        <v>280</v>
      </c>
      <c r="G10" s="11" t="n">
        <f aca="false">IF(B10=0,0,F10/B10)</f>
        <v>0.509090909090909</v>
      </c>
      <c r="H10" s="12" t="str">
        <f aca="false">IF(G10&gt;=الافتراضات!$B$6,"مقبول","مرفوض")</f>
        <v>مقبول</v>
      </c>
    </row>
    <row r="11" customFormat="false" ht="15" hidden="false" customHeight="false" outlineLevel="0" collapsed="false">
      <c r="A11" s="4" t="s">
        <v>41</v>
      </c>
      <c r="B11" s="7" t="n">
        <v>1800</v>
      </c>
      <c r="C11" s="8" t="n">
        <v>1</v>
      </c>
      <c r="D11" s="9" t="n">
        <f aca="false">B11*C11*الافتراضات!$B$5</f>
        <v>720</v>
      </c>
      <c r="E11" s="10" t="n">
        <f aca="false">الافتراضات!$B$11</f>
        <v>120</v>
      </c>
      <c r="F11" s="9" t="n">
        <f aca="false">B11-D11-E11</f>
        <v>960</v>
      </c>
      <c r="G11" s="11" t="n">
        <f aca="false">IF(B11=0,0,F11/B11)</f>
        <v>0.533333333333333</v>
      </c>
      <c r="H11" s="12" t="str">
        <f aca="false">IF(G11&gt;=الافتراضات!$B$6,"مقبول","مرفوض")</f>
        <v>مقبول</v>
      </c>
    </row>
    <row r="13" customFormat="false" ht="15" hidden="false" customHeight="false" outlineLevel="0" collapsed="false">
      <c r="A13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9" min="3" style="0" width="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6" min="14" style="0" width="13"/>
    <col collapsed="false" customWidth="true" hidden="false" outlineLevel="0" max="18" min="17" style="0" width="11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31.5" hidden="false" customHeight="true" outlineLevel="0" collapsed="false">
      <c r="A4" s="3" t="s">
        <v>45</v>
      </c>
      <c r="B4" s="3" t="s">
        <v>46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47</v>
      </c>
      <c r="K4" s="3" t="s">
        <v>28</v>
      </c>
      <c r="L4" s="3" t="s">
        <v>48</v>
      </c>
      <c r="M4" s="3" t="s">
        <v>49</v>
      </c>
      <c r="N4" s="3" t="s">
        <v>50</v>
      </c>
      <c r="O4" s="3" t="s">
        <v>51</v>
      </c>
      <c r="P4" s="3" t="s">
        <v>32</v>
      </c>
      <c r="Q4" s="3" t="s">
        <v>33</v>
      </c>
      <c r="R4" s="3" t="s">
        <v>34</v>
      </c>
    </row>
    <row r="5" customFormat="false" ht="15" hidden="false" customHeight="false" outlineLevel="0" collapsed="false">
      <c r="A5" s="4" t="s">
        <v>52</v>
      </c>
      <c r="B5" s="13" t="s">
        <v>53</v>
      </c>
      <c r="C5" s="14" t="n">
        <v>0</v>
      </c>
      <c r="D5" s="14" t="n">
        <v>1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9" t="n">
        <f aca="false">SUMPRODUCT(C5:I5,TRANSPOSE(الخدمات!$B$5:$B$11))</f>
        <v>400</v>
      </c>
      <c r="K5" s="7" t="n">
        <v>199</v>
      </c>
      <c r="L5" s="9" t="n">
        <f aca="false">J5-K5</f>
        <v>201</v>
      </c>
      <c r="M5" s="11" t="n">
        <f aca="false">IF(J5=0,0,L5/J5)</f>
        <v>0.5025</v>
      </c>
      <c r="N5" s="9" t="n">
        <f aca="false">SUMPRODUCT(C5:I5,TRANSPOSE(الخدمات!$D$5:$D$11))*IF(J5=0,0,K5/J5)</f>
        <v>0</v>
      </c>
      <c r="O5" s="9" t="n">
        <f aca="false">SUMPRODUCT(C5:I5,TRANSPOSE(الخدمات!$E$5:$E$11))</f>
        <v>40</v>
      </c>
      <c r="P5" s="9" t="n">
        <f aca="false">K5-N5-O5</f>
        <v>159</v>
      </c>
      <c r="Q5" s="11" t="n">
        <f aca="false">IF(K5=0,0,P5/K5)</f>
        <v>0.798994974874372</v>
      </c>
      <c r="R5" s="13" t="str">
        <f aca="false">IF(Q5&gt;=الافتراضات!$B$6,"مقبول","مرفوض")</f>
        <v>مقبول</v>
      </c>
    </row>
    <row r="6" customFormat="false" ht="15" hidden="false" customHeight="false" outlineLevel="0" collapsed="false">
      <c r="A6" s="4" t="s">
        <v>54</v>
      </c>
      <c r="B6" s="13" t="s">
        <v>53</v>
      </c>
      <c r="C6" s="14" t="n">
        <v>0</v>
      </c>
      <c r="D6" s="14" t="n">
        <v>1</v>
      </c>
      <c r="E6" s="14" t="n">
        <v>1</v>
      </c>
      <c r="F6" s="14" t="n">
        <v>0</v>
      </c>
      <c r="G6" s="14" t="n">
        <v>0</v>
      </c>
      <c r="H6" s="14" t="n">
        <v>0</v>
      </c>
      <c r="I6" s="14" t="n">
        <v>0</v>
      </c>
      <c r="J6" s="9" t="n">
        <f aca="false">SUMPRODUCT(C6:I6,TRANSPOSE(الخدمات!$B$5:$B$11))</f>
        <v>700</v>
      </c>
      <c r="K6" s="7" t="n">
        <v>349</v>
      </c>
      <c r="L6" s="9" t="n">
        <f aca="false">J6-K6</f>
        <v>351</v>
      </c>
      <c r="M6" s="11" t="n">
        <f aca="false">IF(J6=0,0,L6/J6)</f>
        <v>0.501428571428571</v>
      </c>
      <c r="N6" s="9" t="n">
        <f aca="false">SUMPRODUCT(C6:I6,TRANSPOSE(الخدمات!$D$5:$D$11))*IF(J6=0,0,K6/J6)</f>
        <v>59.8285714285714</v>
      </c>
      <c r="O6" s="9" t="n">
        <f aca="false">SUMPRODUCT(C6:I6,TRANSPOSE(الخدمات!$E$5:$E$11))</f>
        <v>55</v>
      </c>
      <c r="P6" s="9" t="n">
        <f aca="false">K6-N6-O6</f>
        <v>234.171428571429</v>
      </c>
      <c r="Q6" s="11" t="n">
        <f aca="false">IF(K6=0,0,P6/K6)</f>
        <v>0.67097830536226</v>
      </c>
      <c r="R6" s="13" t="str">
        <f aca="false">IF(Q6&gt;=الافتراضات!$B$6,"مقبول","مرفوض")</f>
        <v>مقبول</v>
      </c>
    </row>
    <row r="7" customFormat="false" ht="15" hidden="false" customHeight="false" outlineLevel="0" collapsed="false">
      <c r="A7" s="4" t="s">
        <v>55</v>
      </c>
      <c r="B7" s="13" t="s">
        <v>53</v>
      </c>
      <c r="C7" s="14" t="n">
        <v>0</v>
      </c>
      <c r="D7" s="14" t="n">
        <v>1</v>
      </c>
      <c r="E7" s="14" t="n">
        <v>0</v>
      </c>
      <c r="F7" s="14" t="n">
        <v>0</v>
      </c>
      <c r="G7" s="14" t="n">
        <v>1</v>
      </c>
      <c r="H7" s="14" t="n">
        <v>0</v>
      </c>
      <c r="I7" s="14" t="n">
        <v>0</v>
      </c>
      <c r="J7" s="9" t="n">
        <f aca="false">SUMPRODUCT(C7:I7,TRANSPOSE(الخدمات!$B$5:$B$11))</f>
        <v>600</v>
      </c>
      <c r="K7" s="7" t="n">
        <v>299</v>
      </c>
      <c r="L7" s="9" t="n">
        <f aca="false">J7-K7</f>
        <v>301</v>
      </c>
      <c r="M7" s="11" t="n">
        <f aca="false">IF(J7=0,0,L7/J7)</f>
        <v>0.501666666666667</v>
      </c>
      <c r="N7" s="9" t="n">
        <f aca="false">SUMPRODUCT(C7:I7,TRANSPOSE(الخدمات!$D$5:$D$11))*IF(J7=0,0,K7/J7)</f>
        <v>39.8666666666667</v>
      </c>
      <c r="O7" s="9" t="n">
        <f aca="false">SUMPRODUCT(C7:I7,TRANSPOSE(الخدمات!$E$5:$E$11))</f>
        <v>60</v>
      </c>
      <c r="P7" s="9" t="n">
        <f aca="false">K7-N7-O7</f>
        <v>199.133333333333</v>
      </c>
      <c r="Q7" s="11" t="n">
        <f aca="false">IF(K7=0,0,P7/K7)</f>
        <v>0.665997770345596</v>
      </c>
      <c r="R7" s="13" t="str">
        <f aca="false">IF(Q7&gt;=الافتراضات!$B$6,"مقبول","مرفوض")</f>
        <v>مقبول</v>
      </c>
    </row>
    <row r="8" customFormat="false" ht="15" hidden="false" customHeight="false" outlineLevel="0" collapsed="false">
      <c r="A8" s="4" t="s">
        <v>56</v>
      </c>
      <c r="B8" s="13" t="s">
        <v>57</v>
      </c>
      <c r="C8" s="14" t="n">
        <v>1</v>
      </c>
      <c r="D8" s="14" t="n">
        <v>0</v>
      </c>
      <c r="E8" s="14" t="n">
        <v>0</v>
      </c>
      <c r="F8" s="14" t="n">
        <v>1</v>
      </c>
      <c r="G8" s="14" t="n">
        <v>1</v>
      </c>
      <c r="H8" s="14" t="n">
        <v>0</v>
      </c>
      <c r="I8" s="14" t="n">
        <v>0</v>
      </c>
      <c r="J8" s="9" t="n">
        <f aca="false">SUMPRODUCT(C8:I8,TRANSPOSE(الخدمات!$B$5:$B$11))</f>
        <v>850</v>
      </c>
      <c r="K8" s="7" t="n">
        <v>729</v>
      </c>
      <c r="L8" s="9" t="n">
        <f aca="false">J8-K8</f>
        <v>121</v>
      </c>
      <c r="M8" s="11" t="n">
        <f aca="false">IF(J8=0,0,L8/J8)</f>
        <v>0.142352941176471</v>
      </c>
      <c r="N8" s="9" t="n">
        <f aca="false">SUMPRODUCT(C8:I8,TRANSPOSE(الخدمات!$D$5:$D$11))*IF(J8=0,0,K8/J8)</f>
        <v>240.141176470588</v>
      </c>
      <c r="O8" s="9" t="n">
        <f aca="false">SUMPRODUCT(C8:I8,TRANSPOSE(الخدمات!$E$5:$E$11))</f>
        <v>65</v>
      </c>
      <c r="P8" s="9" t="n">
        <f aca="false">K8-N8-O8</f>
        <v>423.858823529412</v>
      </c>
      <c r="Q8" s="11" t="n">
        <f aca="false">IF(K8=0,0,P8/K8)</f>
        <v>0.581424997982732</v>
      </c>
      <c r="R8" s="13" t="str">
        <f aca="false">IF(Q8&gt;=الافتراضات!$B$6,"مقبول","مرفوض")</f>
        <v>مقبول</v>
      </c>
    </row>
    <row r="9" customFormat="false" ht="15" hidden="false" customHeight="false" outlineLevel="0" collapsed="false">
      <c r="A9" s="15" t="s">
        <v>58</v>
      </c>
      <c r="B9" s="13" t="s">
        <v>57</v>
      </c>
      <c r="C9" s="14" t="n">
        <v>0</v>
      </c>
      <c r="D9" s="14" t="n">
        <v>1</v>
      </c>
      <c r="E9" s="14" t="n">
        <v>1</v>
      </c>
      <c r="F9" s="14" t="n">
        <v>0</v>
      </c>
      <c r="G9" s="14" t="n">
        <v>0</v>
      </c>
      <c r="H9" s="14" t="n">
        <v>1</v>
      </c>
      <c r="I9" s="14" t="n">
        <v>0</v>
      </c>
      <c r="J9" s="9" t="n">
        <f aca="false">SUMPRODUCT(C9:I9,TRANSPOSE(الخدمات!$B$5:$B$11))</f>
        <v>1250</v>
      </c>
      <c r="K9" s="7" t="n">
        <v>999</v>
      </c>
      <c r="L9" s="9" t="n">
        <f aca="false">J9-K9</f>
        <v>251</v>
      </c>
      <c r="M9" s="11" t="n">
        <f aca="false">IF(J9=0,0,L9/J9)</f>
        <v>0.2008</v>
      </c>
      <c r="N9" s="9" t="n">
        <f aca="false">SUMPRODUCT(C9:I9,TRANSPOSE(الخدمات!$D$5:$D$11))*IF(J9=0,0,K9/J9)</f>
        <v>271.728</v>
      </c>
      <c r="O9" s="9" t="n">
        <f aca="false">SUMPRODUCT(C9:I9,TRANSPOSE(الخدمات!$E$5:$E$11))</f>
        <v>105</v>
      </c>
      <c r="P9" s="9" t="n">
        <f aca="false">K9-N9-O9</f>
        <v>622.272</v>
      </c>
      <c r="Q9" s="11" t="n">
        <f aca="false">IF(K9=0,0,P9/K9)</f>
        <v>0.622894894894895</v>
      </c>
      <c r="R9" s="13" t="str">
        <f aca="false">IF(Q9&gt;=الافتراضات!$B$6,"مقبول","مرفوض")</f>
        <v>مقبول</v>
      </c>
    </row>
    <row r="10" customFormat="false" ht="15" hidden="false" customHeight="false" outlineLevel="0" collapsed="false">
      <c r="A10" s="4" t="s">
        <v>59</v>
      </c>
      <c r="B10" s="13" t="s">
        <v>57</v>
      </c>
      <c r="C10" s="14" t="n">
        <v>1</v>
      </c>
      <c r="D10" s="14" t="n">
        <v>1</v>
      </c>
      <c r="E10" s="14" t="n">
        <v>0</v>
      </c>
      <c r="F10" s="14" t="n">
        <v>1</v>
      </c>
      <c r="G10" s="14" t="n">
        <v>0</v>
      </c>
      <c r="H10" s="14" t="n">
        <v>1</v>
      </c>
      <c r="I10" s="14" t="n">
        <v>0</v>
      </c>
      <c r="J10" s="9" t="n">
        <f aca="false">SUMPRODUCT(C10:I10,TRANSPOSE(الخدمات!$B$5:$B$11))</f>
        <v>1600</v>
      </c>
      <c r="K10" s="7" t="n">
        <v>1199</v>
      </c>
      <c r="L10" s="9" t="n">
        <f aca="false">J10-K10</f>
        <v>401</v>
      </c>
      <c r="M10" s="11" t="n">
        <f aca="false">IF(J10=0,0,L10/J10)</f>
        <v>0.250625</v>
      </c>
      <c r="N10" s="9" t="n">
        <f aca="false">SUMPRODUCT(C10:I10,TRANSPOSE(الخدمات!$D$5:$D$11))*IF(J10=0,0,K10/J10)</f>
        <v>314.7375</v>
      </c>
      <c r="O10" s="9" t="n">
        <f aca="false">SUMPRODUCT(C10:I10,TRANSPOSE(الخدمات!$E$5:$E$11))</f>
        <v>135</v>
      </c>
      <c r="P10" s="9" t="n">
        <f aca="false">K10-N10-O10</f>
        <v>749.2625</v>
      </c>
      <c r="Q10" s="11" t="n">
        <f aca="false">IF(K10=0,0,P10/K10)</f>
        <v>0.624906171809842</v>
      </c>
      <c r="R10" s="13" t="str">
        <f aca="false">IF(Q10&gt;=الافتراضات!$B$6,"مقبول","مرفوض")</f>
        <v>مقبول</v>
      </c>
    </row>
    <row r="11" customFormat="false" ht="15" hidden="false" customHeight="false" outlineLevel="0" collapsed="false">
      <c r="A11" s="4" t="s">
        <v>60</v>
      </c>
      <c r="B11" s="13" t="s">
        <v>61</v>
      </c>
      <c r="C11" s="14" t="n">
        <v>0</v>
      </c>
      <c r="D11" s="14" t="n">
        <v>3</v>
      </c>
      <c r="E11" s="14" t="n">
        <v>0</v>
      </c>
      <c r="F11" s="14" t="n">
        <v>0</v>
      </c>
      <c r="G11" s="14" t="n">
        <v>0</v>
      </c>
      <c r="H11" s="14" t="n">
        <v>3</v>
      </c>
      <c r="I11" s="14" t="n">
        <v>0</v>
      </c>
      <c r="J11" s="9" t="n">
        <f aca="false">SUMPRODUCT(C11:I11,TRANSPOSE(الخدمات!$B$5:$B$11))</f>
        <v>2850</v>
      </c>
      <c r="K11" s="7" t="n">
        <v>1499</v>
      </c>
      <c r="L11" s="9" t="n">
        <f aca="false">J11-K11</f>
        <v>1351</v>
      </c>
      <c r="M11" s="11" t="n">
        <f aca="false">IF(J11=0,0,L11/J11)</f>
        <v>0.474035087719298</v>
      </c>
      <c r="N11" s="9" t="n">
        <f aca="false">SUMPRODUCT(C11:I11,TRANSPOSE(الخدمات!$D$5:$D$11))*IF(J11=0,0,K11/J11)</f>
        <v>347.136842105263</v>
      </c>
      <c r="O11" s="9" t="n">
        <f aca="false">SUMPRODUCT(C11:I11,TRANSPOSE(الخدمات!$E$5:$E$11))</f>
        <v>270</v>
      </c>
      <c r="P11" s="9" t="n">
        <f aca="false">K11-N11-O11</f>
        <v>881.863157894737</v>
      </c>
      <c r="Q11" s="11" t="n">
        <f aca="false">IF(K11=0,0,P11/K11)</f>
        <v>0.58830097257821</v>
      </c>
      <c r="R11" s="13" t="str">
        <f aca="false">IF(Q11&gt;=الافتراضات!$B$6,"مقبول","مرفوض")</f>
        <v>مقبول</v>
      </c>
    </row>
    <row r="12" customFormat="false" ht="15" hidden="false" customHeight="false" outlineLevel="0" collapsed="false">
      <c r="A12" s="4" t="s">
        <v>62</v>
      </c>
      <c r="B12" s="13" t="s">
        <v>61</v>
      </c>
      <c r="C12" s="14" t="n">
        <v>0</v>
      </c>
      <c r="D12" s="14" t="n">
        <v>4</v>
      </c>
      <c r="E12" s="14" t="n">
        <v>0</v>
      </c>
      <c r="F12" s="14" t="n">
        <v>4</v>
      </c>
      <c r="G12" s="14" t="n">
        <v>0</v>
      </c>
      <c r="H12" s="14" t="n">
        <v>0</v>
      </c>
      <c r="I12" s="14" t="n">
        <v>0</v>
      </c>
      <c r="J12" s="9" t="n">
        <f aca="false">SUMPRODUCT(C12:I12,TRANSPOSE(الخدمات!$B$5:$B$11))</f>
        <v>3600</v>
      </c>
      <c r="K12" s="7" t="n">
        <v>1799</v>
      </c>
      <c r="L12" s="9" t="n">
        <f aca="false">J12-K12</f>
        <v>1801</v>
      </c>
      <c r="M12" s="11" t="n">
        <f aca="false">IF(J12=0,0,L12/J12)</f>
        <v>0.500277777777778</v>
      </c>
      <c r="N12" s="9" t="n">
        <f aca="false">SUMPRODUCT(C12:I12,TRANSPOSE(الخدمات!$D$5:$D$11))*IF(J12=0,0,K12/J12)</f>
        <v>399.777777777778</v>
      </c>
      <c r="O12" s="9" t="n">
        <f aca="false">SUMPRODUCT(C12:I12,TRANSPOSE(الخدمات!$E$5:$E$11))</f>
        <v>260</v>
      </c>
      <c r="P12" s="9" t="n">
        <f aca="false">K12-N12-O12</f>
        <v>1139.22222222222</v>
      </c>
      <c r="Q12" s="11" t="n">
        <f aca="false">IF(K12=0,0,P12/K12)</f>
        <v>0.633253041813353</v>
      </c>
      <c r="R12" s="13" t="str">
        <f aca="false">IF(Q12&gt;=الافتراضات!$B$6,"مقبول","مرفوض")</f>
        <v>مقبول</v>
      </c>
    </row>
    <row r="13" customFormat="false" ht="15" hidden="false" customHeight="false" outlineLevel="0" collapsed="false">
      <c r="A13" s="4" t="s">
        <v>63</v>
      </c>
      <c r="B13" s="13" t="s">
        <v>64</v>
      </c>
      <c r="C13" s="14" t="n">
        <v>0</v>
      </c>
      <c r="D13" s="14" t="n">
        <v>8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9" t="n">
        <f aca="false">SUMPRODUCT(C13:I13,TRANSPOSE(الخدمات!$B$5:$B$11))</f>
        <v>3200</v>
      </c>
      <c r="K13" s="7" t="n">
        <v>999</v>
      </c>
      <c r="L13" s="9" t="n">
        <f aca="false">J13-K13</f>
        <v>2201</v>
      </c>
      <c r="M13" s="11" t="n">
        <f aca="false">IF(J13=0,0,L13/J13)</f>
        <v>0.6878125</v>
      </c>
      <c r="N13" s="9" t="n">
        <f aca="false">SUMPRODUCT(C13:I13,TRANSPOSE(الخدمات!$D$5:$D$11))*IF(J13=0,0,K13/J13)</f>
        <v>0</v>
      </c>
      <c r="O13" s="9" t="n">
        <f aca="false">SUMPRODUCT(C13:I13,TRANSPOSE(الخدمات!$E$5:$E$11))</f>
        <v>320</v>
      </c>
      <c r="P13" s="9" t="n">
        <f aca="false">K13-N13-O13</f>
        <v>679</v>
      </c>
      <c r="Q13" s="11" t="n">
        <f aca="false">IF(K13=0,0,P13/K13)</f>
        <v>0.67967967967968</v>
      </c>
      <c r="R13" s="13" t="str">
        <f aca="false">IF(Q13&gt;=الافتراضات!$B$6,"مقبول","مرفوض")</f>
        <v>مقبول</v>
      </c>
    </row>
    <row r="14" customFormat="false" ht="15" hidden="false" customHeight="false" outlineLevel="0" collapsed="false">
      <c r="A14" s="4" t="s">
        <v>65</v>
      </c>
      <c r="B14" s="13" t="s">
        <v>64</v>
      </c>
      <c r="C14" s="14" t="n">
        <v>0</v>
      </c>
      <c r="D14" s="14" t="n">
        <v>12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9" t="n">
        <f aca="false">SUMPRODUCT(C14:I14,TRANSPOSE(الخدمات!$B$5:$B$11))</f>
        <v>4800</v>
      </c>
      <c r="K14" s="7" t="n">
        <v>1299</v>
      </c>
      <c r="L14" s="9" t="n">
        <f aca="false">J14-K14</f>
        <v>3501</v>
      </c>
      <c r="M14" s="11" t="n">
        <f aca="false">IF(J14=0,0,L14/J14)</f>
        <v>0.729375</v>
      </c>
      <c r="N14" s="9" t="n">
        <f aca="false">SUMPRODUCT(C14:I14,TRANSPOSE(الخدمات!$D$5:$D$11))*IF(J14=0,0,K14/J14)</f>
        <v>0</v>
      </c>
      <c r="O14" s="9" t="n">
        <f aca="false">SUMPRODUCT(C14:I14,TRANSPOSE(الخدمات!$E$5:$E$11))</f>
        <v>480</v>
      </c>
      <c r="P14" s="9" t="n">
        <f aca="false">K14-N14-O14</f>
        <v>819</v>
      </c>
      <c r="Q14" s="11" t="n">
        <f aca="false">IF(K14=0,0,P14/K14)</f>
        <v>0.630484988452656</v>
      </c>
      <c r="R14" s="13" t="str">
        <f aca="false">IF(Q14&gt;=الافتراضات!$B$6,"مقبول","مرفوض")</f>
        <v>مقبول</v>
      </c>
    </row>
    <row r="15" customFormat="false" ht="15" hidden="false" customHeight="false" outlineLevel="0" collapsed="false">
      <c r="A15" s="4" t="s">
        <v>66</v>
      </c>
      <c r="B15" s="13" t="s">
        <v>64</v>
      </c>
      <c r="C15" s="14" t="n">
        <v>0</v>
      </c>
      <c r="D15" s="14" t="n">
        <v>4</v>
      </c>
      <c r="E15" s="14" t="n">
        <v>0</v>
      </c>
      <c r="F15" s="14" t="n">
        <v>1</v>
      </c>
      <c r="G15" s="14" t="n">
        <v>0</v>
      </c>
      <c r="H15" s="14" t="n">
        <v>0</v>
      </c>
      <c r="I15" s="14" t="n">
        <v>0</v>
      </c>
      <c r="J15" s="9" t="n">
        <f aca="false">SUMPRODUCT(C15:I15,TRANSPOSE(الخدمات!$B$5:$B$11))</f>
        <v>2100</v>
      </c>
      <c r="K15" s="7" t="n">
        <v>899</v>
      </c>
      <c r="L15" s="9" t="n">
        <f aca="false">J15-K15</f>
        <v>1201</v>
      </c>
      <c r="M15" s="11" t="n">
        <f aca="false">IF(J15=0,0,L15/J15)</f>
        <v>0.571904761904762</v>
      </c>
      <c r="N15" s="9" t="n">
        <f aca="false">SUMPRODUCT(C15:I15,TRANSPOSE(الخدمات!$D$5:$D$11))*IF(J15=0,0,K15/J15)</f>
        <v>85.6190476190476</v>
      </c>
      <c r="O15" s="9" t="n">
        <f aca="false">SUMPRODUCT(C15:I15,TRANSPOSE(الخدمات!$E$5:$E$11))</f>
        <v>185</v>
      </c>
      <c r="P15" s="9" t="n">
        <f aca="false">K15-N15-O15</f>
        <v>628.380952380952</v>
      </c>
      <c r="Q15" s="11" t="n">
        <f aca="false">IF(K15=0,0,P15/K15)</f>
        <v>0.698977700090047</v>
      </c>
      <c r="R15" s="13" t="str">
        <f aca="false">IF(Q15&gt;=الافتراضات!$B$6,"مقبول","مرفوض")</f>
        <v>مقبول</v>
      </c>
    </row>
    <row r="16" customFormat="false" ht="15" hidden="false" customHeight="false" outlineLevel="0" collapsed="false">
      <c r="A16" s="4" t="s">
        <v>67</v>
      </c>
      <c r="B16" s="13" t="s">
        <v>68</v>
      </c>
      <c r="C16" s="14" t="n">
        <v>0</v>
      </c>
      <c r="D16" s="14" t="n">
        <v>2</v>
      </c>
      <c r="E16" s="14" t="n">
        <v>2</v>
      </c>
      <c r="F16" s="14" t="n">
        <v>0</v>
      </c>
      <c r="G16" s="14" t="n">
        <v>0</v>
      </c>
      <c r="H16" s="14" t="n">
        <v>2</v>
      </c>
      <c r="I16" s="14" t="n">
        <v>0</v>
      </c>
      <c r="J16" s="9" t="n">
        <f aca="false">SUMPRODUCT(C16:I16,TRANSPOSE(الخدمات!$B$5:$B$11))</f>
        <v>2500</v>
      </c>
      <c r="K16" s="7" t="n">
        <v>1799</v>
      </c>
      <c r="L16" s="9" t="n">
        <f aca="false">J16-K16</f>
        <v>701</v>
      </c>
      <c r="M16" s="11" t="n">
        <f aca="false">IF(J16=0,0,L16/J16)</f>
        <v>0.2804</v>
      </c>
      <c r="N16" s="9" t="n">
        <f aca="false">SUMPRODUCT(C16:I16,TRANSPOSE(الخدمات!$D$5:$D$11))*IF(J16=0,0,K16/J16)</f>
        <v>489.328</v>
      </c>
      <c r="O16" s="9" t="n">
        <f aca="false">SUMPRODUCT(C16:I16,TRANSPOSE(الخدمات!$E$5:$E$11))</f>
        <v>210</v>
      </c>
      <c r="P16" s="9" t="n">
        <f aca="false">K16-N16-O16</f>
        <v>1099.672</v>
      </c>
      <c r="Q16" s="11" t="n">
        <f aca="false">IF(K16=0,0,P16/K16)</f>
        <v>0.611268482490272</v>
      </c>
      <c r="R16" s="13" t="str">
        <f aca="false">IF(Q16&gt;=الافتراضات!$B$6,"مقبول","مرفوض")</f>
        <v>مقبول</v>
      </c>
    </row>
    <row r="17" customFormat="false" ht="15" hidden="false" customHeight="false" outlineLevel="0" collapsed="false">
      <c r="A17" s="4" t="s">
        <v>69</v>
      </c>
      <c r="B17" s="13" t="s">
        <v>70</v>
      </c>
      <c r="C17" s="14" t="n">
        <v>0</v>
      </c>
      <c r="D17" s="14" t="n">
        <v>2</v>
      </c>
      <c r="E17" s="14" t="n">
        <v>1</v>
      </c>
      <c r="F17" s="14" t="n">
        <v>0</v>
      </c>
      <c r="G17" s="14" t="n">
        <v>0</v>
      </c>
      <c r="H17" s="14" t="n">
        <v>0</v>
      </c>
      <c r="I17" s="14" t="n">
        <v>1</v>
      </c>
      <c r="J17" s="9" t="n">
        <f aca="false">SUMPRODUCT(C17:I17,TRANSPOSE(الخدمات!$B$5:$B$11))</f>
        <v>2900</v>
      </c>
      <c r="K17" s="7" t="n">
        <v>1999</v>
      </c>
      <c r="L17" s="9" t="n">
        <f aca="false">J17-K17</f>
        <v>901</v>
      </c>
      <c r="M17" s="11" t="n">
        <f aca="false">IF(J17=0,0,L17/J17)</f>
        <v>0.310689655172414</v>
      </c>
      <c r="N17" s="9" t="n">
        <f aca="false">SUMPRODUCT(C17:I17,TRANSPOSE(الخدمات!$D$5:$D$11))*IF(J17=0,0,K17/J17)</f>
        <v>579.020689655172</v>
      </c>
      <c r="O17" s="9" t="n">
        <f aca="false">SUMPRODUCT(C17:I17,TRANSPOSE(الخدمات!$E$5:$E$11))</f>
        <v>215</v>
      </c>
      <c r="P17" s="9" t="n">
        <f aca="false">K17-N17-O17</f>
        <v>1204.97931034483</v>
      </c>
      <c r="Q17" s="11" t="n">
        <f aca="false">IF(K17=0,0,P17/K17)</f>
        <v>0.602791050697763</v>
      </c>
      <c r="R17" s="13" t="str">
        <f aca="false">IF(Q17&gt;=الافتراضات!$B$6,"مقبول","مرفوض")</f>
        <v>مقبول</v>
      </c>
    </row>
    <row r="18" customFormat="false" ht="15" hidden="false" customHeight="false" outlineLevel="0" collapsed="false">
      <c r="A18" s="4" t="s">
        <v>71</v>
      </c>
      <c r="B18" s="13" t="s">
        <v>72</v>
      </c>
      <c r="C18" s="14" t="n">
        <v>0</v>
      </c>
      <c r="D18" s="14" t="n">
        <v>10</v>
      </c>
      <c r="E18" s="14" t="n">
        <v>10</v>
      </c>
      <c r="F18" s="14" t="n">
        <v>0</v>
      </c>
      <c r="G18" s="14" t="n">
        <v>0</v>
      </c>
      <c r="H18" s="14" t="n">
        <v>10</v>
      </c>
      <c r="I18" s="14" t="n">
        <v>0</v>
      </c>
      <c r="J18" s="9" t="n">
        <f aca="false">SUMPRODUCT(C18:I18,TRANSPOSE(الخدمات!$B$5:$B$11))</f>
        <v>12500</v>
      </c>
      <c r="K18" s="7" t="n">
        <v>8999</v>
      </c>
      <c r="L18" s="9" t="n">
        <f aca="false">J18-K18</f>
        <v>3501</v>
      </c>
      <c r="M18" s="11" t="n">
        <f aca="false">IF(J18=0,0,L18/J18)</f>
        <v>0.28008</v>
      </c>
      <c r="N18" s="9" t="n">
        <f aca="false">SUMPRODUCT(C18:I18,TRANSPOSE(الخدمات!$D$5:$D$11))*IF(J18=0,0,K18/J18)</f>
        <v>2447.728</v>
      </c>
      <c r="O18" s="9" t="n">
        <f aca="false">SUMPRODUCT(C18:I18,TRANSPOSE(الخدمات!$E$5:$E$11))</f>
        <v>1050</v>
      </c>
      <c r="P18" s="9" t="n">
        <f aca="false">K18-N18-O18</f>
        <v>5501.272</v>
      </c>
      <c r="Q18" s="11" t="n">
        <f aca="false">IF(K18=0,0,P18/K18)</f>
        <v>0.611320368929881</v>
      </c>
      <c r="R18" s="13" t="str">
        <f aca="false">IF(Q18&gt;=الافتراضات!$B$6,"مقبول","مرفوض")</f>
        <v>مقبول</v>
      </c>
    </row>
    <row r="19" customFormat="false" ht="15" hidden="false" customHeight="false" outlineLevel="0" collapsed="false">
      <c r="A19" s="16" t="s">
        <v>73</v>
      </c>
      <c r="B19" s="17" t="s">
        <v>74</v>
      </c>
      <c r="C19" s="18" t="n">
        <v>1</v>
      </c>
      <c r="D19" s="18" t="n">
        <v>0</v>
      </c>
      <c r="E19" s="18" t="n">
        <v>0</v>
      </c>
      <c r="F19" s="18" t="n">
        <v>1</v>
      </c>
      <c r="G19" s="18" t="n">
        <v>0</v>
      </c>
      <c r="H19" s="18" t="n">
        <v>1</v>
      </c>
      <c r="I19" s="18" t="n">
        <v>0</v>
      </c>
      <c r="J19" s="19" t="n">
        <f aca="false">SUMPRODUCT(C19:I19,TRANSPOSE(الخدمات!$B$5:$B$11))</f>
        <v>1200</v>
      </c>
      <c r="K19" s="20" t="n">
        <v>1300</v>
      </c>
      <c r="L19" s="19" t="n">
        <f aca="false">J19-K19</f>
        <v>-100</v>
      </c>
      <c r="M19" s="21" t="n">
        <f aca="false">IF(J19=0,0,L19/J19)</f>
        <v>-0.0833333333333333</v>
      </c>
      <c r="N19" s="19" t="n">
        <f aca="false">SUMPRODUCT(C19:I19,TRANSPOSE(الخدمات!$D$5:$D$11))*IF(J19=0,0,K19/J19)</f>
        <v>455</v>
      </c>
      <c r="O19" s="19" t="n">
        <f aca="false">SUMPRODUCT(C19:I19,TRANSPOSE(الخدمات!$E$5:$E$11))</f>
        <v>95</v>
      </c>
      <c r="P19" s="19" t="n">
        <f aca="false">K19-N19-O19</f>
        <v>750</v>
      </c>
      <c r="Q19" s="21" t="n">
        <f aca="false">IF(K19=0,0,P19/K19)</f>
        <v>0.576923076923077</v>
      </c>
      <c r="R19" s="17" t="str">
        <f aca="false">IF(Q19&gt;=الافتراضات!$B$6,"مقبول","مرفوض")</f>
        <v>مقبول</v>
      </c>
    </row>
    <row r="20" customFormat="false" ht="15" hidden="false" customHeight="false" outlineLevel="0" collapsed="false">
      <c r="A20" s="16" t="s">
        <v>75</v>
      </c>
      <c r="B20" s="17" t="s">
        <v>74</v>
      </c>
      <c r="C20" s="18" t="n">
        <v>1</v>
      </c>
      <c r="D20" s="18" t="n">
        <v>0</v>
      </c>
      <c r="E20" s="18" t="n">
        <v>1</v>
      </c>
      <c r="F20" s="18" t="n">
        <v>0</v>
      </c>
      <c r="G20" s="18" t="n">
        <v>0</v>
      </c>
      <c r="H20" s="18" t="n">
        <v>1</v>
      </c>
      <c r="I20" s="18" t="n">
        <v>0</v>
      </c>
      <c r="J20" s="19" t="n">
        <f aca="false">SUMPRODUCT(C20:I20,TRANSPOSE(الخدمات!$B$5:$B$11))</f>
        <v>1000</v>
      </c>
      <c r="K20" s="20" t="n">
        <v>1000</v>
      </c>
      <c r="L20" s="19" t="n">
        <f aca="false">J20-K20</f>
        <v>0</v>
      </c>
      <c r="M20" s="21" t="n">
        <f aca="false">IF(J20=0,0,L20/J20)</f>
        <v>0</v>
      </c>
      <c r="N20" s="19" t="n">
        <f aca="false">SUMPRODUCT(C20:I20,TRANSPOSE(الخدمات!$D$5:$D$11))*IF(J20=0,0,K20/J20)</f>
        <v>340</v>
      </c>
      <c r="O20" s="19" t="n">
        <f aca="false">SUMPRODUCT(C20:I20,TRANSPOSE(الخدمات!$E$5:$E$11))</f>
        <v>85</v>
      </c>
      <c r="P20" s="19" t="n">
        <f aca="false">K20-N20-O20</f>
        <v>575</v>
      </c>
      <c r="Q20" s="21" t="n">
        <f aca="false">IF(K20=0,0,P20/K20)</f>
        <v>0.575</v>
      </c>
      <c r="R20" s="17" t="str">
        <f aca="false">IF(Q20&gt;=الافتراضات!$B$6,"مقبول","مرفوض")</f>
        <v>مقبول</v>
      </c>
    </row>
    <row r="21" customFormat="false" ht="15" hidden="false" customHeight="false" outlineLevel="0" collapsed="false">
      <c r="A21" s="16" t="s">
        <v>76</v>
      </c>
      <c r="B21" s="17" t="s">
        <v>74</v>
      </c>
      <c r="C21" s="18" t="n">
        <v>1</v>
      </c>
      <c r="D21" s="18" t="n">
        <v>0</v>
      </c>
      <c r="E21" s="18" t="n">
        <v>0</v>
      </c>
      <c r="F21" s="18" t="n">
        <v>1</v>
      </c>
      <c r="G21" s="18" t="n">
        <v>1</v>
      </c>
      <c r="H21" s="18" t="n">
        <v>0</v>
      </c>
      <c r="I21" s="18" t="n">
        <v>0</v>
      </c>
      <c r="J21" s="19" t="n">
        <f aca="false">SUMPRODUCT(C21:I21,TRANSPOSE(الخدمات!$B$5:$B$11))</f>
        <v>850</v>
      </c>
      <c r="K21" s="20" t="n">
        <v>850</v>
      </c>
      <c r="L21" s="19" t="n">
        <f aca="false">J21-K21</f>
        <v>0</v>
      </c>
      <c r="M21" s="21" t="n">
        <f aca="false">IF(J21=0,0,L21/J21)</f>
        <v>0</v>
      </c>
      <c r="N21" s="19" t="n">
        <f aca="false">SUMPRODUCT(C21:I21,TRANSPOSE(الخدمات!$D$5:$D$11))*IF(J21=0,0,K21/J21)</f>
        <v>280</v>
      </c>
      <c r="O21" s="19" t="n">
        <f aca="false">SUMPRODUCT(C21:I21,TRANSPOSE(الخدمات!$E$5:$E$11))</f>
        <v>65</v>
      </c>
      <c r="P21" s="19" t="n">
        <f aca="false">K21-N21-O21</f>
        <v>505</v>
      </c>
      <c r="Q21" s="21" t="n">
        <f aca="false">IF(K21=0,0,P21/K21)</f>
        <v>0.594117647058824</v>
      </c>
      <c r="R21" s="17" t="str">
        <f aca="false">IF(Q21&gt;=الافتراضات!$B$6,"مقبول","مرفوض")</f>
        <v>مقبول</v>
      </c>
    </row>
    <row r="23" customFormat="false" ht="15" hidden="false" customHeight="false" outlineLevel="0" collapsed="false">
      <c r="A23" s="2" t="s">
        <v>77</v>
      </c>
    </row>
    <row r="24" customFormat="false" ht="15" hidden="false" customHeight="false" outlineLevel="0" collapsed="false">
      <c r="A24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31.5" hidden="false" customHeight="true" outlineLevel="0" collapsed="false">
      <c r="A4" s="3" t="s">
        <v>81</v>
      </c>
      <c r="B4" s="3" t="s">
        <v>82</v>
      </c>
      <c r="C4" s="3" t="s">
        <v>83</v>
      </c>
      <c r="D4" s="3" t="s">
        <v>84</v>
      </c>
      <c r="E4" s="3" t="s">
        <v>4</v>
      </c>
    </row>
    <row r="5" customFormat="false" ht="15" hidden="false" customHeight="false" outlineLevel="0" collapsed="false">
      <c r="A5" s="4" t="s">
        <v>85</v>
      </c>
      <c r="B5" s="10" t="n">
        <f aca="false">الافتراضات!$B$14</f>
        <v>15000</v>
      </c>
      <c r="C5" s="10" t="n">
        <f aca="false">الافتراضات!$B$14</f>
        <v>15000</v>
      </c>
      <c r="D5" s="10" t="n">
        <f aca="false">الافتراضات!$B$14</f>
        <v>15000</v>
      </c>
      <c r="E5" s="6" t="s">
        <v>86</v>
      </c>
    </row>
    <row r="6" customFormat="false" ht="15" hidden="false" customHeight="false" outlineLevel="0" collapsed="false">
      <c r="A6" s="4" t="s">
        <v>87</v>
      </c>
      <c r="B6" s="7" t="n">
        <v>40</v>
      </c>
      <c r="C6" s="7" t="n">
        <v>25</v>
      </c>
      <c r="D6" s="7" t="n">
        <v>18</v>
      </c>
      <c r="E6" s="6" t="s">
        <v>88</v>
      </c>
    </row>
    <row r="7" customFormat="false" ht="15" hidden="false" customHeight="false" outlineLevel="0" collapsed="false">
      <c r="A7" s="4" t="s">
        <v>89</v>
      </c>
      <c r="B7" s="5" t="n">
        <v>0.65</v>
      </c>
      <c r="C7" s="5" t="n">
        <v>0.75</v>
      </c>
      <c r="D7" s="5" t="n">
        <v>0.85</v>
      </c>
      <c r="E7" s="6" t="s">
        <v>90</v>
      </c>
    </row>
    <row r="8" customFormat="false" ht="15" hidden="false" customHeight="false" outlineLevel="0" collapsed="false">
      <c r="A8" s="4" t="s">
        <v>91</v>
      </c>
      <c r="B8" s="5" t="n">
        <v>0.25</v>
      </c>
      <c r="C8" s="5" t="n">
        <v>0.35</v>
      </c>
      <c r="D8" s="5" t="n">
        <v>0.45</v>
      </c>
      <c r="E8" s="6"/>
    </row>
    <row r="9" customFormat="false" ht="15" hidden="false" customHeight="false" outlineLevel="0" collapsed="false">
      <c r="A9" s="4" t="s">
        <v>92</v>
      </c>
      <c r="B9" s="5" t="n">
        <v>0.6</v>
      </c>
      <c r="C9" s="5" t="n">
        <v>0.7</v>
      </c>
      <c r="D9" s="5" t="n">
        <v>0.8</v>
      </c>
      <c r="E9" s="6" t="s">
        <v>93</v>
      </c>
    </row>
    <row r="10" customFormat="false" ht="15" hidden="false" customHeight="false" outlineLevel="0" collapsed="false">
      <c r="A10" s="4" t="s">
        <v>94</v>
      </c>
      <c r="B10" s="7" t="n">
        <v>320</v>
      </c>
      <c r="C10" s="7" t="n">
        <v>340</v>
      </c>
      <c r="D10" s="7" t="n">
        <v>360</v>
      </c>
      <c r="E10" s="6" t="s">
        <v>95</v>
      </c>
    </row>
    <row r="11" customFormat="false" ht="15" hidden="false" customHeight="false" outlineLevel="0" collapsed="false">
      <c r="A11" s="4" t="s">
        <v>96</v>
      </c>
      <c r="B11" s="5" t="n">
        <v>0.2</v>
      </c>
      <c r="C11" s="5" t="n">
        <v>0.3</v>
      </c>
      <c r="D11" s="5" t="n">
        <v>0.4</v>
      </c>
      <c r="E11" s="6"/>
    </row>
    <row r="12" customFormat="false" ht="15" hidden="false" customHeight="false" outlineLevel="0" collapsed="false">
      <c r="A12" s="4" t="s">
        <v>97</v>
      </c>
      <c r="B12" s="7" t="n">
        <v>1000</v>
      </c>
      <c r="C12" s="7" t="n">
        <v>1100</v>
      </c>
      <c r="D12" s="7" t="n">
        <v>1200</v>
      </c>
      <c r="E12" s="6"/>
    </row>
    <row r="13" customFormat="false" ht="15" hidden="false" customHeight="false" outlineLevel="0" collapsed="false">
      <c r="A13" s="4" t="s">
        <v>98</v>
      </c>
      <c r="B13" s="5" t="n">
        <v>0.58</v>
      </c>
      <c r="C13" s="5" t="n">
        <v>0.58</v>
      </c>
      <c r="D13" s="5" t="n">
        <v>0.58</v>
      </c>
      <c r="E13" s="6" t="s">
        <v>99</v>
      </c>
    </row>
    <row r="14" customFormat="false" ht="15" hidden="false" customHeight="false" outlineLevel="0" collapsed="false">
      <c r="A14" s="4" t="s">
        <v>100</v>
      </c>
      <c r="B14" s="22" t="n">
        <v>2</v>
      </c>
      <c r="C14" s="22" t="n">
        <v>3</v>
      </c>
      <c r="D14" s="22" t="n">
        <v>4</v>
      </c>
      <c r="E14" s="6" t="s">
        <v>101</v>
      </c>
    </row>
    <row r="15" customFormat="false" ht="15" hidden="false" customHeight="false" outlineLevel="0" collapsed="false">
      <c r="A15" s="4" t="s">
        <v>102</v>
      </c>
      <c r="B15" s="7" t="n">
        <v>450</v>
      </c>
      <c r="C15" s="7" t="n">
        <v>500</v>
      </c>
      <c r="D15" s="7" t="n">
        <v>550</v>
      </c>
      <c r="E15" s="6"/>
    </row>
    <row r="17" customFormat="false" ht="15" hidden="false" customHeight="false" outlineLevel="0" collapsed="false">
      <c r="A17" s="23" t="s">
        <v>103</v>
      </c>
    </row>
    <row r="18" customFormat="false" ht="15" hidden="false" customHeight="false" outlineLevel="0" collapsed="false">
      <c r="A18" s="4" t="s">
        <v>104</v>
      </c>
      <c r="B18" s="24" t="n">
        <f aca="false">B5/B6</f>
        <v>375</v>
      </c>
      <c r="C18" s="24" t="n">
        <f aca="false">C5/C6</f>
        <v>600</v>
      </c>
      <c r="D18" s="24" t="n">
        <f aca="false">D5/D6</f>
        <v>833.333333333333</v>
      </c>
    </row>
    <row r="19" customFormat="false" ht="15" hidden="false" customHeight="false" outlineLevel="0" collapsed="false">
      <c r="A19" s="4" t="s">
        <v>105</v>
      </c>
      <c r="B19" s="24" t="n">
        <f aca="false">B18*B7</f>
        <v>243.75</v>
      </c>
      <c r="C19" s="24" t="n">
        <f aca="false">C18*C7</f>
        <v>450</v>
      </c>
      <c r="D19" s="24" t="n">
        <f aca="false">D18*D7</f>
        <v>708.333333333333</v>
      </c>
    </row>
    <row r="20" customFormat="false" ht="15" hidden="false" customHeight="false" outlineLevel="0" collapsed="false">
      <c r="A20" s="4" t="s">
        <v>106</v>
      </c>
      <c r="B20" s="24" t="n">
        <f aca="false">B19*B8</f>
        <v>60.9375</v>
      </c>
      <c r="C20" s="24" t="n">
        <f aca="false">C19*C8</f>
        <v>157.5</v>
      </c>
      <c r="D20" s="24" t="n">
        <f aca="false">D19*D8</f>
        <v>318.75</v>
      </c>
    </row>
    <row r="21" customFormat="false" ht="15" hidden="false" customHeight="false" outlineLevel="0" collapsed="false">
      <c r="A21" s="4" t="s">
        <v>107</v>
      </c>
      <c r="B21" s="24" t="n">
        <f aca="false">B20*B9</f>
        <v>36.5625</v>
      </c>
      <c r="C21" s="24" t="n">
        <f aca="false">C20*C9</f>
        <v>110.25</v>
      </c>
      <c r="D21" s="24" t="n">
        <f aca="false">D20*D9</f>
        <v>255</v>
      </c>
    </row>
    <row r="22" customFormat="false" ht="15" hidden="false" customHeight="false" outlineLevel="0" collapsed="false">
      <c r="A22" s="4" t="s">
        <v>108</v>
      </c>
      <c r="B22" s="9" t="n">
        <f aca="false">B21*B10</f>
        <v>11700</v>
      </c>
      <c r="C22" s="9" t="n">
        <f aca="false">C21*C10</f>
        <v>37485</v>
      </c>
      <c r="D22" s="9" t="n">
        <f aca="false">D21*D10</f>
        <v>91800</v>
      </c>
    </row>
    <row r="23" customFormat="false" ht="15" hidden="false" customHeight="false" outlineLevel="0" collapsed="false">
      <c r="A23" s="4" t="s">
        <v>109</v>
      </c>
      <c r="B23" s="24" t="n">
        <f aca="false">B21*B11</f>
        <v>7.3125</v>
      </c>
      <c r="C23" s="24" t="n">
        <f aca="false">C21*C11</f>
        <v>33.075</v>
      </c>
      <c r="D23" s="24" t="n">
        <f aca="false">D21*D11</f>
        <v>102</v>
      </c>
    </row>
    <row r="24" customFormat="false" ht="15" hidden="false" customHeight="false" outlineLevel="0" collapsed="false">
      <c r="A24" s="4" t="s">
        <v>110</v>
      </c>
      <c r="B24" s="9" t="n">
        <f aca="false">B23*B12</f>
        <v>7312.5</v>
      </c>
      <c r="C24" s="9" t="n">
        <f aca="false">C23*C12</f>
        <v>36382.5</v>
      </c>
      <c r="D24" s="9" t="n">
        <f aca="false">D23*D12</f>
        <v>122400</v>
      </c>
    </row>
    <row r="25" customFormat="false" ht="15" hidden="false" customHeight="false" outlineLevel="0" collapsed="false">
      <c r="A25" s="4" t="s">
        <v>111</v>
      </c>
      <c r="B25" s="9" t="n">
        <f aca="false">B22+B24</f>
        <v>19012.5</v>
      </c>
      <c r="C25" s="9" t="n">
        <f aca="false">C22+C24</f>
        <v>73867.5</v>
      </c>
      <c r="D25" s="9" t="n">
        <f aca="false">D22+D24</f>
        <v>214200</v>
      </c>
    </row>
    <row r="26" customFormat="false" ht="15" hidden="false" customHeight="false" outlineLevel="0" collapsed="false">
      <c r="A26" s="4" t="s">
        <v>112</v>
      </c>
      <c r="B26" s="9" t="n">
        <f aca="false">B25*B13</f>
        <v>11027.25</v>
      </c>
      <c r="C26" s="9" t="n">
        <f aca="false">C25*C13</f>
        <v>42843.15</v>
      </c>
      <c r="D26" s="9" t="n">
        <f aca="false">D25*D13</f>
        <v>124236</v>
      </c>
    </row>
    <row r="27" customFormat="false" ht="15" hidden="false" customHeight="false" outlineLevel="0" collapsed="false">
      <c r="A27" s="4" t="s">
        <v>113</v>
      </c>
      <c r="B27" s="9" t="n">
        <f aca="false">B26-B5</f>
        <v>-3972.75</v>
      </c>
      <c r="C27" s="9" t="n">
        <f aca="false">C26-C5</f>
        <v>27843.15</v>
      </c>
      <c r="D27" s="9" t="n">
        <f aca="false">D26-D5</f>
        <v>109236</v>
      </c>
    </row>
    <row r="28" customFormat="false" ht="15" hidden="false" customHeight="false" outlineLevel="0" collapsed="false">
      <c r="A28" s="4" t="s">
        <v>114</v>
      </c>
      <c r="B28" s="9" t="n">
        <f aca="false">IF(B21=0,0,B5/B21)</f>
        <v>410.25641025641</v>
      </c>
      <c r="C28" s="9" t="n">
        <f aca="false">IF(C21=0,0,C5/C21)</f>
        <v>136.054421768707</v>
      </c>
      <c r="D28" s="9" t="n">
        <f aca="false">IF(D21=0,0,D5/D21)</f>
        <v>58.8235294117647</v>
      </c>
    </row>
    <row r="29" customFormat="false" ht="15" hidden="false" customHeight="false" outlineLevel="0" collapsed="false">
      <c r="A29" s="4" t="s">
        <v>115</v>
      </c>
      <c r="B29" s="9" t="n">
        <f aca="false">B25/MAX(B21,1)+B14*B15</f>
        <v>1420</v>
      </c>
      <c r="C29" s="9" t="n">
        <f aca="false">C25/MAX(C21,1)+C14*C15</f>
        <v>2170</v>
      </c>
      <c r="D29" s="9" t="n">
        <f aca="false">D25/MAX(D21,1)+D14*D15</f>
        <v>3040</v>
      </c>
    </row>
    <row r="30" customFormat="false" ht="15" hidden="false" customHeight="false" outlineLevel="0" collapsed="false">
      <c r="A30" s="4" t="s">
        <v>116</v>
      </c>
      <c r="B30" s="25" t="n">
        <f aca="false">IF(B28=0,0,B29/B28)</f>
        <v>3.46125</v>
      </c>
      <c r="C30" s="25" t="n">
        <f aca="false">IF(C28=0,0,C29/C28)</f>
        <v>15.9495</v>
      </c>
      <c r="D30" s="25" t="n">
        <f aca="false">IF(D28=0,0,D29/D28)</f>
        <v>51.68</v>
      </c>
    </row>
    <row r="32" customFormat="false" ht="15" hidden="false" customHeight="false" outlineLevel="0" collapsed="false">
      <c r="A32" s="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120</v>
      </c>
      <c r="B5" s="22" t="n">
        <v>2</v>
      </c>
      <c r="C5" s="6" t="s">
        <v>121</v>
      </c>
    </row>
    <row r="6" customFormat="false" ht="15" hidden="false" customHeight="false" outlineLevel="0" collapsed="false">
      <c r="A6" s="4" t="s">
        <v>122</v>
      </c>
      <c r="B6" s="22" t="n">
        <v>10</v>
      </c>
      <c r="C6" s="6" t="s">
        <v>123</v>
      </c>
    </row>
    <row r="7" customFormat="false" ht="15" hidden="false" customHeight="false" outlineLevel="0" collapsed="false">
      <c r="A7" s="4" t="s">
        <v>124</v>
      </c>
      <c r="B7" s="22" t="n">
        <v>26</v>
      </c>
      <c r="C7" s="6"/>
    </row>
    <row r="8" customFormat="false" ht="15" hidden="false" customHeight="false" outlineLevel="0" collapsed="false">
      <c r="A8" s="4" t="s">
        <v>125</v>
      </c>
      <c r="B8" s="26" t="n">
        <v>1.25</v>
      </c>
      <c r="C8" s="6" t="s">
        <v>126</v>
      </c>
    </row>
    <row r="9" customFormat="false" ht="15" hidden="false" customHeight="false" outlineLevel="0" collapsed="false">
      <c r="A9" s="4" t="s">
        <v>127</v>
      </c>
      <c r="B9" s="5" t="n">
        <v>0.65</v>
      </c>
      <c r="C9" s="6" t="s">
        <v>128</v>
      </c>
    </row>
    <row r="10" customFormat="false" ht="15" hidden="false" customHeight="false" outlineLevel="0" collapsed="false">
      <c r="A10" s="4" t="s">
        <v>129</v>
      </c>
      <c r="B10" s="22" t="n">
        <v>4</v>
      </c>
      <c r="C10" s="6" t="s">
        <v>130</v>
      </c>
    </row>
    <row r="11" customFormat="false" ht="15" hidden="false" customHeight="false" outlineLevel="0" collapsed="false">
      <c r="A11" s="4" t="s">
        <v>131</v>
      </c>
      <c r="B11" s="26" t="n">
        <v>1.25</v>
      </c>
      <c r="C11" s="6"/>
    </row>
    <row r="12" customFormat="false" ht="15" hidden="false" customHeight="false" outlineLevel="0" collapsed="false">
      <c r="A12" s="4" t="s">
        <v>132</v>
      </c>
      <c r="B12" s="24" t="n">
        <f aca="false">B5*B6*B7/B8</f>
        <v>416</v>
      </c>
    </row>
    <row r="13" customFormat="false" ht="15" hidden="false" customHeight="false" outlineLevel="0" collapsed="false">
      <c r="A13" s="4" t="s">
        <v>133</v>
      </c>
      <c r="B13" s="24" t="n">
        <f aca="false">B12*B9</f>
        <v>270.4</v>
      </c>
    </row>
    <row r="14" customFormat="false" ht="15" hidden="false" customHeight="false" outlineLevel="0" collapsed="false">
      <c r="A14" s="4" t="s">
        <v>134</v>
      </c>
      <c r="B14" s="24" t="n">
        <f aca="false">B10*B6*B7/B11</f>
        <v>832</v>
      </c>
    </row>
    <row r="15" customFormat="false" ht="15" hidden="false" customHeight="false" outlineLevel="0" collapsed="false">
      <c r="A15" s="4" t="s">
        <v>135</v>
      </c>
      <c r="B15" s="24" t="n">
        <f aca="false">B14*B9</f>
        <v>540.8</v>
      </c>
    </row>
    <row r="16" customFormat="false" ht="15" hidden="false" customHeight="false" outlineLevel="0" collapsed="false">
      <c r="A16" s="4" t="s">
        <v>136</v>
      </c>
      <c r="B16" s="9" t="n">
        <f aca="false">B13*500</f>
        <v>135200</v>
      </c>
      <c r="C16" s="27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2026-09-02T11:57:37Z</dcterms:created>
  <dc:creator>openpyxl</dc:creator>
  <dc:description/>
  <dc:language>en-US</dc:language>
  <cp:lastModifiedBy/>
  <dcterms:modified xsi:type="dcterms:W3CDTF">2026-09-02T11:57:37Z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