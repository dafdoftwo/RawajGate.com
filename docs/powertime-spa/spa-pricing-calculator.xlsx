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الافتراضات" sheetId="1" state="visible" r:id="rId3"/>
    <sheet name="الخدمات" sheetId="2" state="visible" r:id="rId4"/>
    <sheet name="الباقات" sheetId="3" state="visible" r:id="rId5"/>
    <sheet name="السيناريوهات" sheetId="4" state="visible" r:id="rId6"/>
    <sheet name="السعة" sheetId="5" state="visible" r:id="rId7"/>
    <sheet name="العمولات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<sst xmlns="http://schemas.openxmlformats.org/spreadsheetml/2006/main" count="291" uniqueCount="225">
  <si>
    <t xml:space="preserve">الافتراضات — غيّر الأرقام الزرقاء فقط</t>
  </si>
  <si>
    <t xml:space="preserve">الخلايا الصفراء هي المدخلات الرئيسية. كل الأوراق الأخرى تقرأ من هنا.</t>
  </si>
  <si>
    <t xml:space="preserve">البند</t>
  </si>
  <si>
    <t xml:space="preserve">القيمة</t>
  </si>
  <si>
    <t xml:space="preserve">ملاحظة</t>
  </si>
  <si>
    <t xml:space="preserve">نسبة المعالج من قيمة الجلسة</t>
  </si>
  <si>
    <t xml:space="preserve">تُطبق على المساج والحجامة والحمام. في الباقات تُطبق على القيمة المخصصة بعد الخصم (الخيار أ في الاستراتيجية 2.1).</t>
  </si>
  <si>
    <t xml:space="preserve">الحد الأدنى للمساهمة الإجمالية لأي عرض</t>
  </si>
  <si>
    <t xml:space="preserve">أي عرض تحته يظهر بعلامة (مرفوض) في ورقة الباقات.</t>
  </si>
  <si>
    <t xml:space="preserve">مستهلكات الحجامة الكاملة (ج/جلسة)</t>
  </si>
  <si>
    <t xml:space="preserve">كاسات، مشارط، قفازات، تعقيم</t>
  </si>
  <si>
    <t xml:space="preserve">مستهلكات الحجامة النارية (ج/جلسة)</t>
  </si>
  <si>
    <t xml:space="preserve">مستهلكات المساج الكلي (ج/جلسة)</t>
  </si>
  <si>
    <t xml:space="preserve">زيوت + غسيل فوط</t>
  </si>
  <si>
    <t xml:space="preserve">مستهلكات المساج الجزئي/الخفيف (ج/جلسة)</t>
  </si>
  <si>
    <t xml:space="preserve">مستهلكات الحمام المغربي الملكي (ج/جلسة)</t>
  </si>
  <si>
    <t xml:space="preserve">صابون بلدي، كيس، غسول/طين، فوط</t>
  </si>
  <si>
    <t xml:space="preserve">مستهلكات الحمام المغربي الكلاسيك (ج/جلسة)</t>
  </si>
  <si>
    <t xml:space="preserve">بلا غسول</t>
  </si>
  <si>
    <t xml:space="preserve">مستهلكات الحمام التركي (ج/جلسة)</t>
  </si>
  <si>
    <t xml:space="preserve">صابون رغوة، كيس، فوط</t>
  </si>
  <si>
    <t xml:space="preserve">تشغيل السبا الكاملة (ج/جلسة)</t>
  </si>
  <si>
    <t xml:space="preserve">كهرباء + مياه + فوط. لا معالج.</t>
  </si>
  <si>
    <t xml:space="preserve">تشغيل السبا الواحدة (ج/جلسة)</t>
  </si>
  <si>
    <t xml:space="preserve">الميزانية الإعلانية الشهرية (ج)</t>
  </si>
  <si>
    <t xml:space="preserve">تُستخدم في ورقة السيناريوهات</t>
  </si>
  <si>
    <t xml:space="preserve">العربون الافتراضي (ج)</t>
  </si>
  <si>
    <t xml:space="preserve">300 للحمام الملكي وباقات العرسان</t>
  </si>
  <si>
    <t xml:space="preserve">الدليل: أزرق = مدخل يمكن تغييره · أسود = معادلة لا تُلمس · أخضر = مرجع من ورقة أخرى · أصفر = مدخل رئيسي</t>
  </si>
  <si>
    <t xml:space="preserve">هامش كل خدمة مفردة</t>
  </si>
  <si>
    <t xml:space="preserve">السعر والحاجة لمعالج مدخلات (أزرق). الباقي معادلات. الحمّامات تشمل جلسة سبا كاملة بعدها (تكلفة تشغيلها مضافة).</t>
  </si>
  <si>
    <t xml:space="preserve">الخدمة</t>
  </si>
  <si>
    <t xml:space="preserve">السعر</t>
  </si>
  <si>
    <t xml:space="preserve">يحتاج معالج (1/0)</t>
  </si>
  <si>
    <t xml:space="preserve">أجر المعالج</t>
  </si>
  <si>
    <t xml:space="preserve">مستهلكات/تشغيل</t>
  </si>
  <si>
    <t xml:space="preserve">المساهمة</t>
  </si>
  <si>
    <t xml:space="preserve">الهامش</t>
  </si>
  <si>
    <t xml:space="preserve">الحالة</t>
  </si>
  <si>
    <t xml:space="preserve">سبا واحدة</t>
  </si>
  <si>
    <t xml:space="preserve">سبا كاملة</t>
  </si>
  <si>
    <t xml:space="preserve">مساج جزئي/خفيف (30 د)</t>
  </si>
  <si>
    <t xml:space="preserve">مساج كلي (60 د)</t>
  </si>
  <si>
    <t xml:space="preserve">حجامة نارية</t>
  </si>
  <si>
    <t xml:space="preserve">حجامة كاملة</t>
  </si>
  <si>
    <t xml:space="preserve">حمام تركي (+ سبا كاملة)</t>
  </si>
  <si>
    <t xml:space="preserve">حمام مغربي كلاسيك (+ سبا كاملة)</t>
  </si>
  <si>
    <t xml:space="preserve">حمام مغربي ملكي (+ سبا كاملة)</t>
  </si>
  <si>
    <t xml:space="preserve">الحمام المغربي الملكي = الحمام الحالي (1800) بمحتوى أوضح. سعره بانتظار مسح المنافسين (الاستراتيجية القسم 9).</t>
  </si>
  <si>
    <t xml:space="preserve">الباقات والعروض — القيمة المفردة، التوفير، والهامش الحقيقي</t>
  </si>
  <si>
    <t xml:space="preserve">الأعمدة C:K = عدد الجلسات من كل خدمة داخل الباقة (أزرق). السعر (M) مدخل. أجر المعالج يُحسب على القيمة المخصصة بعد الخصم.</t>
  </si>
  <si>
    <t xml:space="preserve">الباقة / العرض</t>
  </si>
  <si>
    <t xml:space="preserve">النوع</t>
  </si>
  <si>
    <t xml:space="preserve">سبا 1</t>
  </si>
  <si>
    <t xml:space="preserve">مساج جزئي</t>
  </si>
  <si>
    <t xml:space="preserve">مساج كلي</t>
  </si>
  <si>
    <t xml:space="preserve">نارية</t>
  </si>
  <si>
    <t xml:space="preserve">حجامة</t>
  </si>
  <si>
    <t xml:space="preserve">تركي</t>
  </si>
  <si>
    <t xml:space="preserve">مغربي كلاسيك</t>
  </si>
  <si>
    <t xml:space="preserve">مغربي ملكي</t>
  </si>
  <si>
    <t xml:space="preserve">القيمة المفردة</t>
  </si>
  <si>
    <t xml:space="preserve">التوفير</t>
  </si>
  <si>
    <t xml:space="preserve">التوفير %</t>
  </si>
  <si>
    <t xml:space="preserve">أجر المعالجين</t>
  </si>
  <si>
    <t xml:space="preserve">مستهلكات</t>
  </si>
  <si>
    <t xml:space="preserve">تجربة السبا الكاملة</t>
  </si>
  <si>
    <t xml:space="preserve">تعارف</t>
  </si>
  <si>
    <t xml:space="preserve">استرخاء سريع</t>
  </si>
  <si>
    <t xml:space="preserve">تنشيط</t>
  </si>
  <si>
    <t xml:space="preserve">ريلاكس (البرونزية)</t>
  </si>
  <si>
    <t xml:space="preserve">باقة</t>
  </si>
  <si>
    <t xml:space="preserve">بالانس (الفضية) ⭐</t>
  </si>
  <si>
    <t xml:space="preserve">فل ريكفري (الذهبية)</t>
  </si>
  <si>
    <t xml:space="preserve">كورس الحجامة ×3</t>
  </si>
  <si>
    <t xml:space="preserve">كورس</t>
  </si>
  <si>
    <t xml:space="preserve">باقة المساج ×4</t>
  </si>
  <si>
    <t xml:space="preserve">اشتراك سبا 8</t>
  </si>
  <si>
    <t xml:space="preserve">اشتراك</t>
  </si>
  <si>
    <t xml:space="preserve">اشتراك سبا 12</t>
  </si>
  <si>
    <t xml:space="preserve">ريكفري لعضو الجيم (شهري)</t>
  </si>
  <si>
    <t xml:space="preserve">اشتراك الحمام الشهري (كلاسيك + 2 سبا)</t>
  </si>
  <si>
    <t xml:space="preserve">حمّام</t>
  </si>
  <si>
    <t xml:space="preserve">ثنائي بالانس ×2</t>
  </si>
  <si>
    <t xml:space="preserve">ثنائي</t>
  </si>
  <si>
    <t xml:space="preserve">باقة العروسة</t>
  </si>
  <si>
    <t xml:space="preserve">عرسان</t>
  </si>
  <si>
    <t xml:space="preserve">باقة العريس</t>
  </si>
  <si>
    <t xml:space="preserve">باقة العرسان معاً</t>
  </si>
  <si>
    <t xml:space="preserve">برنامج العروسة 3 أسابيع</t>
  </si>
  <si>
    <t xml:space="preserve">يوم العروسة وصحباتها (4 أشخاص)</t>
  </si>
  <si>
    <t xml:space="preserve">قسائم الشركات ×10 بالانس</t>
  </si>
  <si>
    <t xml:space="preserve">شركات</t>
  </si>
  <si>
    <t xml:space="preserve">(الحالية) الذهبية 1300</t>
  </si>
  <si>
    <t xml:space="preserve">مقارنة</t>
  </si>
  <si>
    <t xml:space="preserve">(الحالية) الفضية 1000</t>
  </si>
  <si>
    <t xml:space="preserve">(الحالية) البرونزية 850</t>
  </si>
  <si>
    <t xml:space="preserve">(الحالية) العرسان 2000</t>
  </si>
  <si>
    <t xml:space="preserve">الصفوف الرمادية = الباقات الحالية للمقارنة (لاحظ التوفير صفر أو سالب). الحالية 'العرسان 2000' مقدّرة: حمام 1800 (ملكي) + 2 سبا مفردة، والمساج الخفيف غير مسعّر في التصميم.</t>
  </si>
  <si>
    <t xml:space="preserve">في العرسان: 'المساج الخفيف التنشيطي' يُحسب كمساج جزئي (300). 'يوم العروسة وصحباتها' = باقة العروسة + 3 × (سبا كاملة + مساج خفيف).</t>
  </si>
  <si>
    <t xml:space="preserve">أجر المعالجين = مجموع أجر الجلسات المفردة × (سعر الباقة ÷ القيمة المفردة). لو اعتمدت الخيار ب (أجر ثابت) عدّل عمود أجر المعالجين يدوياً.</t>
  </si>
  <si>
    <t xml:space="preserve">نموذج عائد الحملة — ثلاث سيناريوهات</t>
  </si>
  <si>
    <t xml:space="preserve">الأزرق مدخلات. الميزانية تُقرأ من الافتراضات. النتائج معادلات.</t>
  </si>
  <si>
    <t xml:space="preserve">المؤشر</t>
  </si>
  <si>
    <t xml:space="preserve">متحفظ</t>
  </si>
  <si>
    <t xml:space="preserve">متوسط</t>
  </si>
  <si>
    <t xml:space="preserve">طموح</t>
  </si>
  <si>
    <t xml:space="preserve">الميزانية الإعلانية الشهرية</t>
  </si>
  <si>
    <t xml:space="preserve">من ورقة الافتراضات</t>
  </si>
  <si>
    <t xml:space="preserve">تكلفة الليد CPL</t>
  </si>
  <si>
    <t xml:space="preserve">رسائل/واتساب لخدمة محلية في مصر</t>
  </si>
  <si>
    <t xml:space="preserve">نسبة الوصول (رد فعلي)</t>
  </si>
  <si>
    <t xml:space="preserve">يتحكم فيها الكول سنتر</t>
  </si>
  <si>
    <t xml:space="preserve">نسبة الحجز من الواصلين</t>
  </si>
  <si>
    <t xml:space="preserve">نسبة الحضور (مع عربون)</t>
  </si>
  <si>
    <t xml:space="preserve">بدون عربون توقّع 40-50%</t>
  </si>
  <si>
    <t xml:space="preserve">متوسط تذكرة الزيارة الأولى</t>
  </si>
  <si>
    <t xml:space="preserve">مزيج عروض التعارف</t>
  </si>
  <si>
    <t xml:space="preserve">نسبة الترقية لباقة/كورس في نفس الزيارة</t>
  </si>
  <si>
    <t xml:space="preserve">متوسط قيمة الباقة/الكورس</t>
  </si>
  <si>
    <t xml:space="preserve">نسبة المساهمة الإجمالية</t>
  </si>
  <si>
    <t xml:space="preserve">متوسط مرجّح من ورقة الباقات</t>
  </si>
  <si>
    <t xml:space="preserve">زيارات متكررة للعميل خلال 6 شهور</t>
  </si>
  <si>
    <t xml:space="preserve">لحساب LTV</t>
  </si>
  <si>
    <t xml:space="preserve">متوسط إنفاق الزيارة المتكررة</t>
  </si>
  <si>
    <t xml:space="preserve">باقات عرسان شهرياً (من حملة العرسان والشركاء)</t>
  </si>
  <si>
    <t xml:space="preserve">خارج حساب الليدز أعلاه؛ قناة مستقلة</t>
  </si>
  <si>
    <t xml:space="preserve">متوسط تذكرة باقة العرسان</t>
  </si>
  <si>
    <t xml:space="preserve">من ورقة الباقات</t>
  </si>
  <si>
    <t xml:space="preserve">نسبة المساهمة في العرسان</t>
  </si>
  <si>
    <t xml:space="preserve">النتائج</t>
  </si>
  <si>
    <t xml:space="preserve">عدد الليدز</t>
  </si>
  <si>
    <t xml:space="preserve">ليدز تم الوصول إليها</t>
  </si>
  <si>
    <t xml:space="preserve">حجوزات</t>
  </si>
  <si>
    <t xml:space="preserve">جلسات أولى فعلية (حضور)</t>
  </si>
  <si>
    <t xml:space="preserve">إيراد الزيارات الأولى</t>
  </si>
  <si>
    <t xml:space="preserve">باقات/كورسات مباعة</t>
  </si>
  <si>
    <t xml:space="preserve">إيراد الباقات</t>
  </si>
  <si>
    <t xml:space="preserve">إجمالي إيراد الشهر الأول (حملة التعارف)</t>
  </si>
  <si>
    <t xml:space="preserve">المساهمة الإجمالية (حملة التعارف)</t>
  </si>
  <si>
    <t xml:space="preserve">صافي حملة التعارف بعد الإعلان</t>
  </si>
  <si>
    <t xml:space="preserve">تكلفة اكتساب العميل CAC</t>
  </si>
  <si>
    <t xml:space="preserve">قيمة العميل 6 شهور LTV</t>
  </si>
  <si>
    <t xml:space="preserve">LTV ÷ CAC</t>
  </si>
  <si>
    <t xml:space="preserve">إيراد العرسان الشهري</t>
  </si>
  <si>
    <t xml:space="preserve">مساهمة العرسان</t>
  </si>
  <si>
    <t xml:space="preserve">صافي القسم الشهري (تعارف + عرسان) بعد الإعلان</t>
  </si>
  <si>
    <t xml:space="preserve">الهدف: LTV ÷ CAC ≥ 5 في السيناريو المتوسط. قارن 'جلسات أولى فعلية' بطاقة كل فترة في ورقة السعة: لو تجاوزتها فالحل معالج إضافي لا خصم.</t>
  </si>
  <si>
    <t xml:space="preserve">طاقة القسم الشهرية — لكل فترة (سيدات / رجال)</t>
  </si>
  <si>
    <t xml:space="preserve">مواعيد الفترتين من التصميم المعلن (افتراض: السبا يتبع مواعيد الجيم). عدّل الساعات الزرقاء لو مختلفة.</t>
  </si>
  <si>
    <t xml:space="preserve">السيدات</t>
  </si>
  <si>
    <t xml:space="preserve">الرجال</t>
  </si>
  <si>
    <t xml:space="preserve">الإجمالي</t>
  </si>
  <si>
    <t xml:space="preserve">ساعات الفترة: السبت + الاثنين + الأربعاء (لليوم الواحد)</t>
  </si>
  <si>
    <t xml:space="preserve">سيدات 8ص–4م · رجال 4م–1ص</t>
  </si>
  <si>
    <t xml:space="preserve">ساعات الفترة: الأحد + الثلاثاء + الخميس (لليوم الواحد)</t>
  </si>
  <si>
    <t xml:space="preserve">سيدات 3–7م · رجال 8ص–3م + 7م–1ص</t>
  </si>
  <si>
    <t xml:space="preserve">ساعات الفترة: الجمعة</t>
  </si>
  <si>
    <t xml:space="preserve">رجال 3م–10:30م</t>
  </si>
  <si>
    <t xml:space="preserve">عدد المختصين العاملين في الفترة (أسرّة)</t>
  </si>
  <si>
    <t xml:space="preserve">زد الرقم لتحسب أثر مختص/ة إضافي/ة</t>
  </si>
  <si>
    <t xml:space="preserve">متوسط مدة جلسة المعالج بالساعة (شاملة 15 د تجهيز)</t>
  </si>
  <si>
    <t xml:space="preserve">مساج 60 د + 15 د. الحمام 1.5–1.75</t>
  </si>
  <si>
    <t xml:space="preserve">الإشغال المستهدف</t>
  </si>
  <si>
    <t xml:space="preserve">60–70% صحي؛ فوق 75% باستمرار = وقت لمختص إضافي</t>
  </si>
  <si>
    <t xml:space="preserve">عدد الأشخاص المتزامنين في منطقة السبا</t>
  </si>
  <si>
    <t xml:space="preserve">ساونا + بخار + جاكوزي</t>
  </si>
  <si>
    <t xml:space="preserve">مدة فترة السبا بالساعة</t>
  </si>
  <si>
    <t xml:space="preserve">ساعات الفترة الأسبوعية</t>
  </si>
  <si>
    <t xml:space="preserve">ساعات الفترة الشهرية (×4.33)</t>
  </si>
  <si>
    <t xml:space="preserve">جلسات المعالج القصوى شهرياً</t>
  </si>
  <si>
    <t xml:space="preserve">جلسات المعالج عند الإشغال المستهدف</t>
  </si>
  <si>
    <t xml:space="preserve">جلسات السبا القصوى شهرياً</t>
  </si>
  <si>
    <t xml:space="preserve">جلسات السبا عند الإشغال المستهدف</t>
  </si>
  <si>
    <t xml:space="preserve">إيراد خدمات المعالج عند الهدف (بمتوسط تذكرة 500)</t>
  </si>
  <si>
    <t xml:space="preserve">القراءة: ساعات السيدات نصف ساعات الرجال بينما الطلب على السبا والحمام والعرسان نسائي غالباً. فترة السيدات تُملأ بأعلى تذكرة أولاً (عرسان، حمام ملكي، باقات).</t>
  </si>
  <si>
    <t xml:space="preserve">باقة العروسة تحتاج 3 ساعات متصلة، أي ≈ 2.4 جلسة معالج عادية؛ 'يوم العروسة وصحباتها' يحجز منطقة السبا كاملة 3 ساعات.</t>
  </si>
  <si>
    <t xml:space="preserve">برنامج العمولات — هل يتحمل السعر؟ وكم يبقى لك بعد كل شريحة؟</t>
  </si>
  <si>
    <t xml:space="preserve">النسب مدخلات (أزرق). الأسعار والمساهمة تُقرأ من ورقة الباقات. الفئة A = باقات/اشتراكات/كورسات، B = حمّام/عرسان/مفرد ≥ 500.</t>
  </si>
  <si>
    <t xml:space="preserve">نسبة الشريحة الأولى (1–4 عملاء جدد/شهر)</t>
  </si>
  <si>
    <t xml:space="preserve">تنطبق على الفئتين A وB</t>
  </si>
  <si>
    <t xml:space="preserve">نسبة الشريحة الثانية (5–9) — الفئة A فقط</t>
  </si>
  <si>
    <t xml:space="preserve">الفئة B تبقى 10%</t>
  </si>
  <si>
    <t xml:space="preserve">نسبة الشريحة الثالثة (10+) — الفئة A فقط</t>
  </si>
  <si>
    <t xml:space="preserve">عمولة المدرب على تجديد الاشتراك</t>
  </si>
  <si>
    <t xml:space="preserve">حتى 5 تجديدات</t>
  </si>
  <si>
    <t xml:space="preserve">مضاعف الرصيد العيني بدل الكاش</t>
  </si>
  <si>
    <t xml:space="preserve">100 كاش = 200 رصيد سبا؛ تكلفتك ≈ 10% من الرصيد</t>
  </si>
  <si>
    <t xml:space="preserve">عمولة ثابتة على المفرد &lt; 500</t>
  </si>
  <si>
    <t xml:space="preserve">ج</t>
  </si>
  <si>
    <t xml:space="preserve">المنتج</t>
  </si>
  <si>
    <t xml:space="preserve">الفئة</t>
  </si>
  <si>
    <t xml:space="preserve">المساهمة قبل</t>
  </si>
  <si>
    <t xml:space="preserve">عمولة 10%</t>
  </si>
  <si>
    <t xml:space="preserve">المساهمة بعد</t>
  </si>
  <si>
    <t xml:space="preserve">الهامش بعد</t>
  </si>
  <si>
    <t xml:space="preserve">عمولة الشريحة 3</t>
  </si>
  <si>
    <t xml:space="preserve">المساهمة بعدها</t>
  </si>
  <si>
    <t xml:space="preserve">الهامش بعدها</t>
  </si>
  <si>
    <t xml:space="preserve">الحالة (أسوأ حالة)</t>
  </si>
  <si>
    <t xml:space="preserve">A</t>
  </si>
  <si>
    <t xml:space="preserve">B</t>
  </si>
  <si>
    <t xml:space="preserve">مساج كلي (60 د) (مفرد)</t>
  </si>
  <si>
    <t xml:space="preserve">حجامة كاملة (مفرد)</t>
  </si>
  <si>
    <t xml:space="preserve">حمام تركي (+ سبا كاملة) (مفرد)</t>
  </si>
  <si>
    <t xml:space="preserve">حمام مغربي كلاسيك (+ سبا كاملة) (مفرد)</t>
  </si>
  <si>
    <t xml:space="preserve">حمام مغربي ملكي (+ سبا كاملة) (مفرد)</t>
  </si>
  <si>
    <t xml:space="preserve">الخلاصة: لا حاجة لرفع الأسعار. الفئة A تتحمل حتى 15%، الفئة B تتحمل 10% فقط. عروض التعارف (199/299/349) خارج البرنامج.</t>
  </si>
  <si>
    <t xml:space="preserve">محاكي الشريك (غيّر الأزرق)</t>
  </si>
  <si>
    <t xml:space="preserve">الشريك</t>
  </si>
  <si>
    <t xml:space="preserve">عملاء جدد/شهر</t>
  </si>
  <si>
    <t xml:space="preserve">متوسط التذكرة</t>
  </si>
  <si>
    <t xml:space="preserve">المساهمة/عميل</t>
  </si>
  <si>
    <t xml:space="preserve">النسبة المطبقة</t>
  </si>
  <si>
    <t xml:space="preserve">العمولة الشهرية</t>
  </si>
  <si>
    <t xml:space="preserve">بونص</t>
  </si>
  <si>
    <t xml:space="preserve">إجمالي للشريك</t>
  </si>
  <si>
    <t xml:space="preserve">مساهمتك بعد العمولة</t>
  </si>
  <si>
    <t xml:space="preserve">تجديدات (للمدرب)</t>
  </si>
  <si>
    <t xml:space="preserve">عمولة التجديد</t>
  </si>
  <si>
    <t xml:space="preserve">كابتن (ريكفري)</t>
  </si>
  <si>
    <t xml:space="preserve">صالون حلاقة (عريس)</t>
  </si>
  <si>
    <t xml:space="preserve">بيوتي سنتر (عرسان)</t>
  </si>
  <si>
    <t xml:space="preserve">سفير (بالانس)</t>
  </si>
  <si>
    <t xml:space="preserve">الشريحة تُطبَّق رجعياً على كل عملاء الشهر (لا على الزيادة فقط) — هذا ما يدفع الشريك للعميل الخامس والعاشر. التجديدات للمدربين فقط.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</si>
</sst>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%"/>
    <numFmt numFmtId="166" formatCode="#,##0&quot; ج&quot;;\(#,##0&quot; ج)&quot;;\-"/>
    <numFmt numFmtId="167" formatCode="#,##0;\(#,##0\);\-"/>
    <numFmt numFmtId="168" formatCode="0.0\x"/>
    <numFmt numFmtId="169" formatCode="#,##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555555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8F0E8"/>
        <bgColor rgb="FFF2F2F2"/>
      </patternFill>
    </fill>
    <fill>
      <patternFill patternType="solid">
        <fgColor rgb="FFF3E8F5"/>
        <bgColor rgb="FFF2F2F2"/>
      </patternFill>
    </fill>
    <fill>
      <patternFill patternType="solid">
        <fgColor rgb="FFF2F2F2"/>
        <bgColor rgb="FFE8F0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2F2F2"/>
      <rgbColor rgb="FFE8F0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26.85" hidden="false" customHeight="false" outlineLevel="0" collapsed="false">
      <c r="A5" s="4" t="s">
        <v>5</v>
      </c>
      <c r="B5" s="5" t="n">
        <v>0.4</v>
      </c>
      <c r="C5" s="6" t="s">
        <v>6</v>
      </c>
    </row>
    <row r="6" customFormat="false" ht="15" hidden="false" customHeight="false" outlineLevel="0" collapsed="false">
      <c r="A6" s="4" t="s">
        <v>7</v>
      </c>
      <c r="B6" s="5" t="n">
        <v>0.35</v>
      </c>
      <c r="C6" s="6" t="s">
        <v>8</v>
      </c>
    </row>
    <row r="7" customFormat="false" ht="15" hidden="false" customHeight="false" outlineLevel="0" collapsed="false">
      <c r="A7" s="4" t="s">
        <v>9</v>
      </c>
      <c r="B7" s="7" t="n">
        <v>50</v>
      </c>
      <c r="C7" s="6" t="s">
        <v>10</v>
      </c>
    </row>
    <row r="8" customFormat="false" ht="15" hidden="false" customHeight="false" outlineLevel="0" collapsed="false">
      <c r="A8" s="4" t="s">
        <v>11</v>
      </c>
      <c r="B8" s="7" t="n">
        <v>20</v>
      </c>
      <c r="C8" s="6"/>
    </row>
    <row r="9" customFormat="false" ht="15" hidden="false" customHeight="false" outlineLevel="0" collapsed="false">
      <c r="A9" s="4" t="s">
        <v>12</v>
      </c>
      <c r="B9" s="7" t="n">
        <v>25</v>
      </c>
      <c r="C9" s="6" t="s">
        <v>13</v>
      </c>
    </row>
    <row r="10" customFormat="false" ht="15" hidden="false" customHeight="false" outlineLevel="0" collapsed="false">
      <c r="A10" s="4" t="s">
        <v>14</v>
      </c>
      <c r="B10" s="7" t="n">
        <v>15</v>
      </c>
      <c r="C10" s="6"/>
    </row>
    <row r="11" customFormat="false" ht="15" hidden="false" customHeight="false" outlineLevel="0" collapsed="false">
      <c r="A11" s="4" t="s">
        <v>15</v>
      </c>
      <c r="B11" s="7" t="n">
        <v>120</v>
      </c>
      <c r="C11" s="6" t="s">
        <v>16</v>
      </c>
    </row>
    <row r="12" customFormat="false" ht="15" hidden="false" customHeight="false" outlineLevel="0" collapsed="false">
      <c r="A12" s="4" t="s">
        <v>17</v>
      </c>
      <c r="B12" s="7" t="n">
        <v>100</v>
      </c>
      <c r="C12" s="6" t="s">
        <v>18</v>
      </c>
    </row>
    <row r="13" customFormat="false" ht="15" hidden="false" customHeight="false" outlineLevel="0" collapsed="false">
      <c r="A13" s="4" t="s">
        <v>19</v>
      </c>
      <c r="B13" s="7" t="n">
        <v>80</v>
      </c>
      <c r="C13" s="6" t="s">
        <v>20</v>
      </c>
    </row>
    <row r="14" customFormat="false" ht="15" hidden="false" customHeight="false" outlineLevel="0" collapsed="false">
      <c r="A14" s="4" t="s">
        <v>21</v>
      </c>
      <c r="B14" s="7" t="n">
        <v>40</v>
      </c>
      <c r="C14" s="6" t="s">
        <v>22</v>
      </c>
    </row>
    <row r="15" customFormat="false" ht="15" hidden="false" customHeight="false" outlineLevel="0" collapsed="false">
      <c r="A15" s="4" t="s">
        <v>23</v>
      </c>
      <c r="B15" s="7" t="n">
        <v>20</v>
      </c>
      <c r="C15" s="6"/>
    </row>
    <row r="16" customFormat="false" ht="15" hidden="false" customHeight="false" outlineLevel="0" collapsed="false">
      <c r="A16" s="4" t="s">
        <v>24</v>
      </c>
      <c r="B16" s="7" t="n">
        <v>15000</v>
      </c>
      <c r="C16" s="6" t="s">
        <v>25</v>
      </c>
    </row>
    <row r="17" customFormat="false" ht="15" hidden="false" customHeight="false" outlineLevel="0" collapsed="false">
      <c r="A17" s="4" t="s">
        <v>26</v>
      </c>
      <c r="B17" s="7" t="n">
        <v>100</v>
      </c>
      <c r="C17" s="6" t="s">
        <v>27</v>
      </c>
    </row>
    <row r="20" customFormat="false" ht="15" hidden="false" customHeight="false" outlineLevel="0" collapsed="false">
      <c r="A20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6" min="4" style="0" width="14"/>
    <col collapsed="false" customWidth="true" hidden="false" outlineLevel="0" max="8" min="7" style="0" width="12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31.5" hidden="false" customHeight="true" outlineLevel="0" collapsed="false">
      <c r="A4" s="3" t="s">
        <v>31</v>
      </c>
      <c r="B4" s="3" t="s">
        <v>32</v>
      </c>
      <c r="C4" s="3" t="s">
        <v>33</v>
      </c>
      <c r="D4" s="3" t="s">
        <v>34</v>
      </c>
      <c r="E4" s="3" t="s">
        <v>35</v>
      </c>
      <c r="F4" s="3" t="s">
        <v>36</v>
      </c>
      <c r="G4" s="3" t="s">
        <v>37</v>
      </c>
      <c r="H4" s="3" t="s">
        <v>38</v>
      </c>
    </row>
    <row r="5" customFormat="false" ht="15" hidden="false" customHeight="false" outlineLevel="0" collapsed="false">
      <c r="A5" s="4" t="s">
        <v>39</v>
      </c>
      <c r="B5" s="7" t="n">
        <v>150</v>
      </c>
      <c r="C5" s="8" t="n">
        <v>0</v>
      </c>
      <c r="D5" s="9" t="n">
        <f aca="false">B5*C5*الافتراضات!$B$5</f>
        <v>0</v>
      </c>
      <c r="E5" s="10" t="n">
        <f aca="false">الافتراضات!$B$15</f>
        <v>20</v>
      </c>
      <c r="F5" s="9" t="n">
        <f aca="false">B5-D5-E5</f>
        <v>130</v>
      </c>
      <c r="G5" s="11" t="n">
        <f aca="false">IF(B5=0,0,F5/B5)</f>
        <v>0.866666666666667</v>
      </c>
      <c r="H5" s="12" t="str">
        <f aca="false">IF(G5&gt;=الافتراضات!$B$6,"مقبول","مرفوض")</f>
        <v>مقبول</v>
      </c>
    </row>
    <row r="6" customFormat="false" ht="15" hidden="false" customHeight="false" outlineLevel="0" collapsed="false">
      <c r="A6" s="4" t="s">
        <v>40</v>
      </c>
      <c r="B6" s="7" t="n">
        <v>400</v>
      </c>
      <c r="C6" s="8" t="n">
        <v>0</v>
      </c>
      <c r="D6" s="9" t="n">
        <f aca="false">B6*C6*الافتراضات!$B$5</f>
        <v>0</v>
      </c>
      <c r="E6" s="10" t="n">
        <f aca="false">الافتراضات!$B$14</f>
        <v>40</v>
      </c>
      <c r="F6" s="9" t="n">
        <f aca="false">B6-D6-E6</f>
        <v>360</v>
      </c>
      <c r="G6" s="11" t="n">
        <f aca="false">IF(B6=0,0,F6/B6)</f>
        <v>0.9</v>
      </c>
      <c r="H6" s="12" t="str">
        <f aca="false">IF(G6&gt;=الافتراضات!$B$6,"مقبول","مرفوض")</f>
        <v>مقبول</v>
      </c>
    </row>
    <row r="7" customFormat="false" ht="15" hidden="false" customHeight="false" outlineLevel="0" collapsed="false">
      <c r="A7" s="4" t="s">
        <v>41</v>
      </c>
      <c r="B7" s="7" t="n">
        <v>300</v>
      </c>
      <c r="C7" s="8" t="n">
        <v>1</v>
      </c>
      <c r="D7" s="9" t="n">
        <f aca="false">B7*C7*الافتراضات!$B$5</f>
        <v>120</v>
      </c>
      <c r="E7" s="10" t="n">
        <f aca="false">الافتراضات!$B$10</f>
        <v>15</v>
      </c>
      <c r="F7" s="9" t="n">
        <f aca="false">B7-D7-E7</f>
        <v>165</v>
      </c>
      <c r="G7" s="11" t="n">
        <f aca="false">IF(B7=0,0,F7/B7)</f>
        <v>0.55</v>
      </c>
      <c r="H7" s="12" t="str">
        <f aca="false">IF(G7&gt;=الافتراضات!$B$6,"مقبول","مرفوض")</f>
        <v>مقبول</v>
      </c>
    </row>
    <row r="8" customFormat="false" ht="15" hidden="false" customHeight="false" outlineLevel="0" collapsed="false">
      <c r="A8" s="4" t="s">
        <v>42</v>
      </c>
      <c r="B8" s="7" t="n">
        <v>500</v>
      </c>
      <c r="C8" s="8" t="n">
        <v>1</v>
      </c>
      <c r="D8" s="9" t="n">
        <f aca="false">B8*C8*الافتراضات!$B$5</f>
        <v>200</v>
      </c>
      <c r="E8" s="10" t="n">
        <f aca="false">الافتراضات!$B$9</f>
        <v>25</v>
      </c>
      <c r="F8" s="9" t="n">
        <f aca="false">B8-D8-E8</f>
        <v>275</v>
      </c>
      <c r="G8" s="11" t="n">
        <f aca="false">IF(B8=0,0,F8/B8)</f>
        <v>0.55</v>
      </c>
      <c r="H8" s="12" t="str">
        <f aca="false">IF(G8&gt;=الافتراضات!$B$6,"مقبول","مرفوض")</f>
        <v>مقبول</v>
      </c>
    </row>
    <row r="9" customFormat="false" ht="15" hidden="false" customHeight="false" outlineLevel="0" collapsed="false">
      <c r="A9" s="4" t="s">
        <v>43</v>
      </c>
      <c r="B9" s="7" t="n">
        <v>200</v>
      </c>
      <c r="C9" s="8" t="n">
        <v>1</v>
      </c>
      <c r="D9" s="9" t="n">
        <f aca="false">B9*C9*الافتراضات!$B$5</f>
        <v>80</v>
      </c>
      <c r="E9" s="10" t="n">
        <f aca="false">الافتراضات!$B$8</f>
        <v>20</v>
      </c>
      <c r="F9" s="9" t="n">
        <f aca="false">B9-D9-E9</f>
        <v>100</v>
      </c>
      <c r="G9" s="11" t="n">
        <f aca="false">IF(B9=0,0,F9/B9)</f>
        <v>0.5</v>
      </c>
      <c r="H9" s="12" t="str">
        <f aca="false">IF(G9&gt;=الافتراضات!$B$6,"مقبول","مرفوض")</f>
        <v>مقبول</v>
      </c>
    </row>
    <row r="10" customFormat="false" ht="15" hidden="false" customHeight="false" outlineLevel="0" collapsed="false">
      <c r="A10" s="4" t="s">
        <v>44</v>
      </c>
      <c r="B10" s="7" t="n">
        <v>550</v>
      </c>
      <c r="C10" s="8" t="n">
        <v>1</v>
      </c>
      <c r="D10" s="9" t="n">
        <f aca="false">B10*C10*الافتراضات!$B$5</f>
        <v>220</v>
      </c>
      <c r="E10" s="10" t="n">
        <f aca="false">الافتراضات!$B$7</f>
        <v>50</v>
      </c>
      <c r="F10" s="9" t="n">
        <f aca="false">B10-D10-E10</f>
        <v>280</v>
      </c>
      <c r="G10" s="11" t="n">
        <f aca="false">IF(B10=0,0,F10/B10)</f>
        <v>0.509090909090909</v>
      </c>
      <c r="H10" s="12" t="str">
        <f aca="false">IF(G10&gt;=الافتراضات!$B$6,"مقبول","مرفوض")</f>
        <v>مقبول</v>
      </c>
    </row>
    <row r="11" customFormat="false" ht="15" hidden="false" customHeight="false" outlineLevel="0" collapsed="false">
      <c r="A11" s="4" t="s">
        <v>45</v>
      </c>
      <c r="B11" s="7" t="n">
        <v>1299</v>
      </c>
      <c r="C11" s="8" t="n">
        <v>1</v>
      </c>
      <c r="D11" s="9" t="n">
        <f aca="false">B11*C11*الافتراضات!$B$5</f>
        <v>519.6</v>
      </c>
      <c r="E11" s="10" t="n">
        <f aca="false">الافتراضات!$B$13+الافتراضات!$B$14</f>
        <v>120</v>
      </c>
      <c r="F11" s="9" t="n">
        <f aca="false">B11-D11-E11</f>
        <v>659.4</v>
      </c>
      <c r="G11" s="11" t="n">
        <f aca="false">IF(B11=0,0,F11/B11)</f>
        <v>0.507621247113164</v>
      </c>
      <c r="H11" s="12" t="str">
        <f aca="false">IF(G11&gt;=الافتراضات!$B$6,"مقبول","مرفوض")</f>
        <v>مقبول</v>
      </c>
    </row>
    <row r="12" customFormat="false" ht="15" hidden="false" customHeight="false" outlineLevel="0" collapsed="false">
      <c r="A12" s="4" t="s">
        <v>46</v>
      </c>
      <c r="B12" s="7" t="n">
        <v>1299</v>
      </c>
      <c r="C12" s="8" t="n">
        <v>1</v>
      </c>
      <c r="D12" s="9" t="n">
        <f aca="false">B12*C12*الافتراضات!$B$5</f>
        <v>519.6</v>
      </c>
      <c r="E12" s="10" t="n">
        <f aca="false">الافتراضات!$B$12+الافتراضات!$B$14</f>
        <v>140</v>
      </c>
      <c r="F12" s="9" t="n">
        <f aca="false">B12-D12-E12</f>
        <v>639.4</v>
      </c>
      <c r="G12" s="11" t="n">
        <f aca="false">IF(B12=0,0,F12/B12)</f>
        <v>0.492224788298691</v>
      </c>
      <c r="H12" s="12" t="str">
        <f aca="false">IF(G12&gt;=الافتراضات!$B$6,"مقبول","مرفوض")</f>
        <v>مقبول</v>
      </c>
    </row>
    <row r="13" customFormat="false" ht="15" hidden="false" customHeight="false" outlineLevel="0" collapsed="false">
      <c r="A13" s="4" t="s">
        <v>47</v>
      </c>
      <c r="B13" s="7" t="n">
        <v>1799</v>
      </c>
      <c r="C13" s="8" t="n">
        <v>1</v>
      </c>
      <c r="D13" s="9" t="n">
        <f aca="false">B13*C13*الافتراضات!$B$5</f>
        <v>719.6</v>
      </c>
      <c r="E13" s="10" t="n">
        <f aca="false">الافتراضات!$B$11+الافتراضات!$B$14</f>
        <v>160</v>
      </c>
      <c r="F13" s="9" t="n">
        <f aca="false">B13-D13-E13</f>
        <v>919.4</v>
      </c>
      <c r="G13" s="11" t="n">
        <f aca="false">IF(B13=0,0,F13/B13)</f>
        <v>0.51106170094497</v>
      </c>
      <c r="H13" s="12" t="str">
        <f aca="false">IF(G13&gt;=الافتراضات!$B$6,"مقبول","مرفوض")</f>
        <v>مقبول</v>
      </c>
    </row>
    <row r="15" customFormat="false" ht="15" hidden="false" customHeight="false" outlineLevel="0" collapsed="false">
      <c r="A15" s="2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31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11" min="3" style="0" width="8"/>
    <col collapsed="false" customWidth="true" hidden="false" outlineLevel="0" max="12" min="12" style="0" width="13"/>
    <col collapsed="false" customWidth="true" hidden="false" outlineLevel="0" max="13" min="13" style="0" width="12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13"/>
    <col collapsed="false" customWidth="true" hidden="false" outlineLevel="0" max="20" min="19" style="0" width="11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31.5" hidden="false" customHeight="true" outlineLevel="0" collapsed="false">
      <c r="A4" s="3" t="s">
        <v>51</v>
      </c>
      <c r="B4" s="3" t="s">
        <v>52</v>
      </c>
      <c r="C4" s="3" t="s">
        <v>53</v>
      </c>
      <c r="D4" s="3" t="s">
        <v>40</v>
      </c>
      <c r="E4" s="3" t="s">
        <v>54</v>
      </c>
      <c r="F4" s="3" t="s">
        <v>55</v>
      </c>
      <c r="G4" s="3" t="s">
        <v>56</v>
      </c>
      <c r="H4" s="3" t="s">
        <v>57</v>
      </c>
      <c r="I4" s="3" t="s">
        <v>58</v>
      </c>
      <c r="J4" s="3" t="s">
        <v>59</v>
      </c>
      <c r="K4" s="3" t="s">
        <v>60</v>
      </c>
      <c r="L4" s="3" t="s">
        <v>61</v>
      </c>
      <c r="M4" s="3" t="s">
        <v>32</v>
      </c>
      <c r="N4" s="3" t="s">
        <v>62</v>
      </c>
      <c r="O4" s="3" t="s">
        <v>63</v>
      </c>
      <c r="P4" s="3" t="s">
        <v>64</v>
      </c>
      <c r="Q4" s="3" t="s">
        <v>65</v>
      </c>
      <c r="R4" s="3" t="s">
        <v>36</v>
      </c>
      <c r="S4" s="3" t="s">
        <v>37</v>
      </c>
      <c r="T4" s="3" t="s">
        <v>38</v>
      </c>
    </row>
    <row r="5" customFormat="false" ht="15" hidden="false" customHeight="false" outlineLevel="0" collapsed="false">
      <c r="A5" s="4" t="s">
        <v>66</v>
      </c>
      <c r="B5" s="13" t="s">
        <v>67</v>
      </c>
      <c r="C5" s="14" t="n">
        <v>0</v>
      </c>
      <c r="D5" s="14" t="n">
        <v>1</v>
      </c>
      <c r="E5" s="14" t="n">
        <v>0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9" t="n">
        <f aca="false">SUMPRODUCT(C5:K5,TRANSPOSE(الخدمات!$B$5:$B$13))</f>
        <v>400</v>
      </c>
      <c r="M5" s="7" t="n">
        <v>199</v>
      </c>
      <c r="N5" s="9" t="n">
        <f aca="false">L5-M5</f>
        <v>201</v>
      </c>
      <c r="O5" s="11" t="n">
        <f aca="false">IF(L5=0,0,N5/L5)</f>
        <v>0.5025</v>
      </c>
      <c r="P5" s="9" t="n">
        <f aca="false">SUMPRODUCT(C5:K5,TRANSPOSE(الخدمات!$D$5:$D$13))*IF(L5=0,0,M5/L5)</f>
        <v>0</v>
      </c>
      <c r="Q5" s="9" t="n">
        <f aca="false">SUMPRODUCT(C5:K5,TRANSPOSE(الخدمات!$E$5:$E$13))</f>
        <v>40</v>
      </c>
      <c r="R5" s="9" t="n">
        <f aca="false">M5-P5-Q5</f>
        <v>159</v>
      </c>
      <c r="S5" s="11" t="n">
        <f aca="false">IF(M5=0,0,R5/M5)</f>
        <v>0.798994974874372</v>
      </c>
      <c r="T5" s="13" t="str">
        <f aca="false">IF(S5&gt;=الافتراضات!$B$6,"مقبول","مرفوض")</f>
        <v>مقبول</v>
      </c>
    </row>
    <row r="6" customFormat="false" ht="15" hidden="false" customHeight="false" outlineLevel="0" collapsed="false">
      <c r="A6" s="4" t="s">
        <v>68</v>
      </c>
      <c r="B6" s="13" t="s">
        <v>67</v>
      </c>
      <c r="C6" s="14" t="n">
        <v>0</v>
      </c>
      <c r="D6" s="14" t="n">
        <v>1</v>
      </c>
      <c r="E6" s="14" t="n">
        <v>1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9" t="n">
        <f aca="false">SUMPRODUCT(C6:K6,TRANSPOSE(الخدمات!$B$5:$B$13))</f>
        <v>700</v>
      </c>
      <c r="M6" s="7" t="n">
        <v>349</v>
      </c>
      <c r="N6" s="9" t="n">
        <f aca="false">L6-M6</f>
        <v>351</v>
      </c>
      <c r="O6" s="11" t="n">
        <f aca="false">IF(L6=0,0,N6/L6)</f>
        <v>0.501428571428571</v>
      </c>
      <c r="P6" s="9" t="n">
        <f aca="false">SUMPRODUCT(C6:K6,TRANSPOSE(الخدمات!$D$5:$D$13))*IF(L6=0,0,M6/L6)</f>
        <v>59.8285714285714</v>
      </c>
      <c r="Q6" s="9" t="n">
        <f aca="false">SUMPRODUCT(C6:K6,TRANSPOSE(الخدمات!$E$5:$E$13))</f>
        <v>55</v>
      </c>
      <c r="R6" s="9" t="n">
        <f aca="false">M6-P6-Q6</f>
        <v>234.171428571429</v>
      </c>
      <c r="S6" s="11" t="n">
        <f aca="false">IF(M6=0,0,R6/M6)</f>
        <v>0.67097830536226</v>
      </c>
      <c r="T6" s="13" t="str">
        <f aca="false">IF(S6&gt;=الافتراضات!$B$6,"مقبول","مرفوض")</f>
        <v>مقبول</v>
      </c>
    </row>
    <row r="7" customFormat="false" ht="15" hidden="false" customHeight="false" outlineLevel="0" collapsed="false">
      <c r="A7" s="4" t="s">
        <v>69</v>
      </c>
      <c r="B7" s="13" t="s">
        <v>67</v>
      </c>
      <c r="C7" s="14" t="n">
        <v>0</v>
      </c>
      <c r="D7" s="14" t="n">
        <v>1</v>
      </c>
      <c r="E7" s="14" t="n">
        <v>0</v>
      </c>
      <c r="F7" s="14" t="n">
        <v>0</v>
      </c>
      <c r="G7" s="14" t="n">
        <v>1</v>
      </c>
      <c r="H7" s="14" t="n">
        <v>0</v>
      </c>
      <c r="I7" s="14" t="n">
        <v>0</v>
      </c>
      <c r="J7" s="14" t="n">
        <v>0</v>
      </c>
      <c r="K7" s="14" t="n">
        <v>0</v>
      </c>
      <c r="L7" s="9" t="n">
        <f aca="false">SUMPRODUCT(C7:K7,TRANSPOSE(الخدمات!$B$5:$B$13))</f>
        <v>600</v>
      </c>
      <c r="M7" s="7" t="n">
        <v>299</v>
      </c>
      <c r="N7" s="9" t="n">
        <f aca="false">L7-M7</f>
        <v>301</v>
      </c>
      <c r="O7" s="11" t="n">
        <f aca="false">IF(L7=0,0,N7/L7)</f>
        <v>0.501666666666667</v>
      </c>
      <c r="P7" s="9" t="n">
        <f aca="false">SUMPRODUCT(C7:K7,TRANSPOSE(الخدمات!$D$5:$D$13))*IF(L7=0,0,M7/L7)</f>
        <v>39.8666666666667</v>
      </c>
      <c r="Q7" s="9" t="n">
        <f aca="false">SUMPRODUCT(C7:K7,TRANSPOSE(الخدمات!$E$5:$E$13))</f>
        <v>60</v>
      </c>
      <c r="R7" s="9" t="n">
        <f aca="false">M7-P7-Q7</f>
        <v>199.133333333333</v>
      </c>
      <c r="S7" s="11" t="n">
        <f aca="false">IF(M7=0,0,R7/M7)</f>
        <v>0.665997770345596</v>
      </c>
      <c r="T7" s="13" t="str">
        <f aca="false">IF(S7&gt;=الافتراضات!$B$6,"مقبول","مرفوض")</f>
        <v>مقبول</v>
      </c>
    </row>
    <row r="8" customFormat="false" ht="15" hidden="false" customHeight="false" outlineLevel="0" collapsed="false">
      <c r="A8" s="4" t="s">
        <v>70</v>
      </c>
      <c r="B8" s="13" t="s">
        <v>71</v>
      </c>
      <c r="C8" s="14" t="n">
        <v>1</v>
      </c>
      <c r="D8" s="14" t="n">
        <v>0</v>
      </c>
      <c r="E8" s="14" t="n">
        <v>0</v>
      </c>
      <c r="F8" s="14" t="n">
        <v>1</v>
      </c>
      <c r="G8" s="14" t="n">
        <v>1</v>
      </c>
      <c r="H8" s="14" t="n">
        <v>0</v>
      </c>
      <c r="I8" s="14" t="n">
        <v>0</v>
      </c>
      <c r="J8" s="14" t="n">
        <v>0</v>
      </c>
      <c r="K8" s="14" t="n">
        <v>0</v>
      </c>
      <c r="L8" s="9" t="n">
        <f aca="false">SUMPRODUCT(C8:K8,TRANSPOSE(الخدمات!$B$5:$B$13))</f>
        <v>850</v>
      </c>
      <c r="M8" s="7" t="n">
        <v>729</v>
      </c>
      <c r="N8" s="9" t="n">
        <f aca="false">L8-M8</f>
        <v>121</v>
      </c>
      <c r="O8" s="11" t="n">
        <f aca="false">IF(L8=0,0,N8/L8)</f>
        <v>0.142352941176471</v>
      </c>
      <c r="P8" s="9" t="n">
        <f aca="false">SUMPRODUCT(C8:K8,TRANSPOSE(الخدمات!$D$5:$D$13))*IF(L8=0,0,M8/L8)</f>
        <v>240.141176470588</v>
      </c>
      <c r="Q8" s="9" t="n">
        <f aca="false">SUMPRODUCT(C8:K8,TRANSPOSE(الخدمات!$E$5:$E$13))</f>
        <v>65</v>
      </c>
      <c r="R8" s="9" t="n">
        <f aca="false">M8-P8-Q8</f>
        <v>423.858823529412</v>
      </c>
      <c r="S8" s="11" t="n">
        <f aca="false">IF(M8=0,0,R8/M8)</f>
        <v>0.581424997982732</v>
      </c>
      <c r="T8" s="13" t="str">
        <f aca="false">IF(S8&gt;=الافتراضات!$B$6,"مقبول","مرفوض")</f>
        <v>مقبول</v>
      </c>
    </row>
    <row r="9" customFormat="false" ht="15" hidden="false" customHeight="false" outlineLevel="0" collapsed="false">
      <c r="A9" s="15" t="s">
        <v>72</v>
      </c>
      <c r="B9" s="13" t="s">
        <v>71</v>
      </c>
      <c r="C9" s="14" t="n">
        <v>0</v>
      </c>
      <c r="D9" s="14" t="n">
        <v>1</v>
      </c>
      <c r="E9" s="14" t="n">
        <v>1</v>
      </c>
      <c r="F9" s="14" t="n">
        <v>0</v>
      </c>
      <c r="G9" s="14" t="n">
        <v>0</v>
      </c>
      <c r="H9" s="14" t="n">
        <v>1</v>
      </c>
      <c r="I9" s="14" t="n">
        <v>0</v>
      </c>
      <c r="J9" s="14" t="n">
        <v>0</v>
      </c>
      <c r="K9" s="14" t="n">
        <v>0</v>
      </c>
      <c r="L9" s="9" t="n">
        <f aca="false">SUMPRODUCT(C9:K9,TRANSPOSE(الخدمات!$B$5:$B$13))</f>
        <v>1250</v>
      </c>
      <c r="M9" s="7" t="n">
        <v>999</v>
      </c>
      <c r="N9" s="9" t="n">
        <f aca="false">L9-M9</f>
        <v>251</v>
      </c>
      <c r="O9" s="11" t="n">
        <f aca="false">IF(L9=0,0,N9/L9)</f>
        <v>0.2008</v>
      </c>
      <c r="P9" s="9" t="n">
        <f aca="false">SUMPRODUCT(C9:K9,TRANSPOSE(الخدمات!$D$5:$D$13))*IF(L9=0,0,M9/L9)</f>
        <v>271.728</v>
      </c>
      <c r="Q9" s="9" t="n">
        <f aca="false">SUMPRODUCT(C9:K9,TRANSPOSE(الخدمات!$E$5:$E$13))</f>
        <v>105</v>
      </c>
      <c r="R9" s="9" t="n">
        <f aca="false">M9-P9-Q9</f>
        <v>622.272</v>
      </c>
      <c r="S9" s="11" t="n">
        <f aca="false">IF(M9=0,0,R9/M9)</f>
        <v>0.622894894894895</v>
      </c>
      <c r="T9" s="13" t="str">
        <f aca="false">IF(S9&gt;=الافتراضات!$B$6,"مقبول","مرفوض")</f>
        <v>مقبول</v>
      </c>
    </row>
    <row r="10" customFormat="false" ht="15" hidden="false" customHeight="false" outlineLevel="0" collapsed="false">
      <c r="A10" s="4" t="s">
        <v>73</v>
      </c>
      <c r="B10" s="13" t="s">
        <v>71</v>
      </c>
      <c r="C10" s="14" t="n">
        <v>1</v>
      </c>
      <c r="D10" s="14" t="n">
        <v>1</v>
      </c>
      <c r="E10" s="14" t="n">
        <v>0</v>
      </c>
      <c r="F10" s="14" t="n">
        <v>1</v>
      </c>
      <c r="G10" s="14" t="n">
        <v>0</v>
      </c>
      <c r="H10" s="14" t="n">
        <v>1</v>
      </c>
      <c r="I10" s="14" t="n">
        <v>0</v>
      </c>
      <c r="J10" s="14" t="n">
        <v>0</v>
      </c>
      <c r="K10" s="14" t="n">
        <v>0</v>
      </c>
      <c r="L10" s="9" t="n">
        <f aca="false">SUMPRODUCT(C10:K10,TRANSPOSE(الخدمات!$B$5:$B$13))</f>
        <v>1600</v>
      </c>
      <c r="M10" s="7" t="n">
        <v>1199</v>
      </c>
      <c r="N10" s="9" t="n">
        <f aca="false">L10-M10</f>
        <v>401</v>
      </c>
      <c r="O10" s="11" t="n">
        <f aca="false">IF(L10=0,0,N10/L10)</f>
        <v>0.250625</v>
      </c>
      <c r="P10" s="9" t="n">
        <f aca="false">SUMPRODUCT(C10:K10,TRANSPOSE(الخدمات!$D$5:$D$13))*IF(L10=0,0,M10/L10)</f>
        <v>314.7375</v>
      </c>
      <c r="Q10" s="9" t="n">
        <f aca="false">SUMPRODUCT(C10:K10,TRANSPOSE(الخدمات!$E$5:$E$13))</f>
        <v>135</v>
      </c>
      <c r="R10" s="9" t="n">
        <f aca="false">M10-P10-Q10</f>
        <v>749.2625</v>
      </c>
      <c r="S10" s="11" t="n">
        <f aca="false">IF(M10=0,0,R10/M10)</f>
        <v>0.624906171809842</v>
      </c>
      <c r="T10" s="13" t="str">
        <f aca="false">IF(S10&gt;=الافتراضات!$B$6,"مقبول","مرفوض")</f>
        <v>مقبول</v>
      </c>
    </row>
    <row r="11" customFormat="false" ht="15" hidden="false" customHeight="false" outlineLevel="0" collapsed="false">
      <c r="A11" s="4" t="s">
        <v>74</v>
      </c>
      <c r="B11" s="13" t="s">
        <v>75</v>
      </c>
      <c r="C11" s="14" t="n">
        <v>0</v>
      </c>
      <c r="D11" s="14" t="n">
        <v>3</v>
      </c>
      <c r="E11" s="14" t="n">
        <v>0</v>
      </c>
      <c r="F11" s="14" t="n">
        <v>0</v>
      </c>
      <c r="G11" s="14" t="n">
        <v>0</v>
      </c>
      <c r="H11" s="14" t="n">
        <v>3</v>
      </c>
      <c r="I11" s="14" t="n">
        <v>0</v>
      </c>
      <c r="J11" s="14" t="n">
        <v>0</v>
      </c>
      <c r="K11" s="14" t="n">
        <v>0</v>
      </c>
      <c r="L11" s="9" t="n">
        <f aca="false">SUMPRODUCT(C11:K11,TRANSPOSE(الخدمات!$B$5:$B$13))</f>
        <v>2850</v>
      </c>
      <c r="M11" s="7" t="n">
        <v>1499</v>
      </c>
      <c r="N11" s="9" t="n">
        <f aca="false">L11-M11</f>
        <v>1351</v>
      </c>
      <c r="O11" s="11" t="n">
        <f aca="false">IF(L11=0,0,N11/L11)</f>
        <v>0.474035087719298</v>
      </c>
      <c r="P11" s="9" t="n">
        <f aca="false">SUMPRODUCT(C11:K11,TRANSPOSE(الخدمات!$D$5:$D$13))*IF(L11=0,0,M11/L11)</f>
        <v>347.136842105263</v>
      </c>
      <c r="Q11" s="9" t="n">
        <f aca="false">SUMPRODUCT(C11:K11,TRANSPOSE(الخدمات!$E$5:$E$13))</f>
        <v>270</v>
      </c>
      <c r="R11" s="9" t="n">
        <f aca="false">M11-P11-Q11</f>
        <v>881.863157894737</v>
      </c>
      <c r="S11" s="11" t="n">
        <f aca="false">IF(M11=0,0,R11/M11)</f>
        <v>0.58830097257821</v>
      </c>
      <c r="T11" s="13" t="str">
        <f aca="false">IF(S11&gt;=الافتراضات!$B$6,"مقبول","مرفوض")</f>
        <v>مقبول</v>
      </c>
    </row>
    <row r="12" customFormat="false" ht="15" hidden="false" customHeight="false" outlineLevel="0" collapsed="false">
      <c r="A12" s="4" t="s">
        <v>76</v>
      </c>
      <c r="B12" s="13" t="s">
        <v>75</v>
      </c>
      <c r="C12" s="14" t="n">
        <v>0</v>
      </c>
      <c r="D12" s="14" t="n">
        <v>4</v>
      </c>
      <c r="E12" s="14" t="n">
        <v>0</v>
      </c>
      <c r="F12" s="14" t="n">
        <v>4</v>
      </c>
      <c r="G12" s="14" t="n">
        <v>0</v>
      </c>
      <c r="H12" s="14" t="n">
        <v>0</v>
      </c>
      <c r="I12" s="14" t="n">
        <v>0</v>
      </c>
      <c r="J12" s="14" t="n">
        <v>0</v>
      </c>
      <c r="K12" s="14" t="n">
        <v>0</v>
      </c>
      <c r="L12" s="9" t="n">
        <f aca="false">SUMPRODUCT(C12:K12,TRANSPOSE(الخدمات!$B$5:$B$13))</f>
        <v>3600</v>
      </c>
      <c r="M12" s="7" t="n">
        <v>1799</v>
      </c>
      <c r="N12" s="9" t="n">
        <f aca="false">L12-M12</f>
        <v>1801</v>
      </c>
      <c r="O12" s="11" t="n">
        <f aca="false">IF(L12=0,0,N12/L12)</f>
        <v>0.500277777777778</v>
      </c>
      <c r="P12" s="9" t="n">
        <f aca="false">SUMPRODUCT(C12:K12,TRANSPOSE(الخدمات!$D$5:$D$13))*IF(L12=0,0,M12/L12)</f>
        <v>399.777777777778</v>
      </c>
      <c r="Q12" s="9" t="n">
        <f aca="false">SUMPRODUCT(C12:K12,TRANSPOSE(الخدمات!$E$5:$E$13))</f>
        <v>260</v>
      </c>
      <c r="R12" s="9" t="n">
        <f aca="false">M12-P12-Q12</f>
        <v>1139.22222222222</v>
      </c>
      <c r="S12" s="11" t="n">
        <f aca="false">IF(M12=0,0,R12/M12)</f>
        <v>0.633253041813353</v>
      </c>
      <c r="T12" s="13" t="str">
        <f aca="false">IF(S12&gt;=الافتراضات!$B$6,"مقبول","مرفوض")</f>
        <v>مقبول</v>
      </c>
    </row>
    <row r="13" customFormat="false" ht="15" hidden="false" customHeight="false" outlineLevel="0" collapsed="false">
      <c r="A13" s="4" t="s">
        <v>77</v>
      </c>
      <c r="B13" s="13" t="s">
        <v>78</v>
      </c>
      <c r="C13" s="14" t="n">
        <v>0</v>
      </c>
      <c r="D13" s="14" t="n">
        <v>8</v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14" t="n">
        <v>0</v>
      </c>
      <c r="L13" s="9" t="n">
        <f aca="false">SUMPRODUCT(C13:K13,TRANSPOSE(الخدمات!$B$5:$B$13))</f>
        <v>3200</v>
      </c>
      <c r="M13" s="7" t="n">
        <v>999</v>
      </c>
      <c r="N13" s="9" t="n">
        <f aca="false">L13-M13</f>
        <v>2201</v>
      </c>
      <c r="O13" s="11" t="n">
        <f aca="false">IF(L13=0,0,N13/L13)</f>
        <v>0.6878125</v>
      </c>
      <c r="P13" s="9" t="n">
        <f aca="false">SUMPRODUCT(C13:K13,TRANSPOSE(الخدمات!$D$5:$D$13))*IF(L13=0,0,M13/L13)</f>
        <v>0</v>
      </c>
      <c r="Q13" s="9" t="n">
        <f aca="false">SUMPRODUCT(C13:K13,TRANSPOSE(الخدمات!$E$5:$E$13))</f>
        <v>320</v>
      </c>
      <c r="R13" s="9" t="n">
        <f aca="false">M13-P13-Q13</f>
        <v>679</v>
      </c>
      <c r="S13" s="11" t="n">
        <f aca="false">IF(M13=0,0,R13/M13)</f>
        <v>0.67967967967968</v>
      </c>
      <c r="T13" s="13" t="str">
        <f aca="false">IF(S13&gt;=الافتراضات!$B$6,"مقبول","مرفوض")</f>
        <v>مقبول</v>
      </c>
    </row>
    <row r="14" customFormat="false" ht="15" hidden="false" customHeight="false" outlineLevel="0" collapsed="false">
      <c r="A14" s="4" t="s">
        <v>79</v>
      </c>
      <c r="B14" s="13" t="s">
        <v>78</v>
      </c>
      <c r="C14" s="14" t="n">
        <v>0</v>
      </c>
      <c r="D14" s="14" t="n">
        <v>12</v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9" t="n">
        <f aca="false">SUMPRODUCT(C14:K14,TRANSPOSE(الخدمات!$B$5:$B$13))</f>
        <v>4800</v>
      </c>
      <c r="M14" s="7" t="n">
        <v>1299</v>
      </c>
      <c r="N14" s="9" t="n">
        <f aca="false">L14-M14</f>
        <v>3501</v>
      </c>
      <c r="O14" s="11" t="n">
        <f aca="false">IF(L14=0,0,N14/L14)</f>
        <v>0.729375</v>
      </c>
      <c r="P14" s="9" t="n">
        <f aca="false">SUMPRODUCT(C14:K14,TRANSPOSE(الخدمات!$D$5:$D$13))*IF(L14=0,0,M14/L14)</f>
        <v>0</v>
      </c>
      <c r="Q14" s="9" t="n">
        <f aca="false">SUMPRODUCT(C14:K14,TRANSPOSE(الخدمات!$E$5:$E$13))</f>
        <v>480</v>
      </c>
      <c r="R14" s="9" t="n">
        <f aca="false">M14-P14-Q14</f>
        <v>819</v>
      </c>
      <c r="S14" s="11" t="n">
        <f aca="false">IF(M14=0,0,R14/M14)</f>
        <v>0.630484988452656</v>
      </c>
      <c r="T14" s="13" t="str">
        <f aca="false">IF(S14&gt;=الافتراضات!$B$6,"مقبول","مرفوض")</f>
        <v>مقبول</v>
      </c>
    </row>
    <row r="15" customFormat="false" ht="15" hidden="false" customHeight="false" outlineLevel="0" collapsed="false">
      <c r="A15" s="4" t="s">
        <v>80</v>
      </c>
      <c r="B15" s="13" t="s">
        <v>78</v>
      </c>
      <c r="C15" s="14" t="n">
        <v>0</v>
      </c>
      <c r="D15" s="14" t="n">
        <v>4</v>
      </c>
      <c r="E15" s="14" t="n">
        <v>0</v>
      </c>
      <c r="F15" s="14" t="n">
        <v>1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0</v>
      </c>
      <c r="L15" s="9" t="n">
        <f aca="false">SUMPRODUCT(C15:K15,TRANSPOSE(الخدمات!$B$5:$B$13))</f>
        <v>2100</v>
      </c>
      <c r="M15" s="7" t="n">
        <v>899</v>
      </c>
      <c r="N15" s="9" t="n">
        <f aca="false">L15-M15</f>
        <v>1201</v>
      </c>
      <c r="O15" s="11" t="n">
        <f aca="false">IF(L15=0,0,N15/L15)</f>
        <v>0.571904761904762</v>
      </c>
      <c r="P15" s="9" t="n">
        <f aca="false">SUMPRODUCT(C15:K15,TRANSPOSE(الخدمات!$D$5:$D$13))*IF(L15=0,0,M15/L15)</f>
        <v>85.6190476190476</v>
      </c>
      <c r="Q15" s="9" t="n">
        <f aca="false">SUMPRODUCT(C15:K15,TRANSPOSE(الخدمات!$E$5:$E$13))</f>
        <v>185</v>
      </c>
      <c r="R15" s="9" t="n">
        <f aca="false">M15-P15-Q15</f>
        <v>628.380952380952</v>
      </c>
      <c r="S15" s="11" t="n">
        <f aca="false">IF(M15=0,0,R15/M15)</f>
        <v>0.698977700090047</v>
      </c>
      <c r="T15" s="13" t="str">
        <f aca="false">IF(S15&gt;=الافتراضات!$B$6,"مقبول","مرفوض")</f>
        <v>مقبول</v>
      </c>
    </row>
    <row r="16" customFormat="false" ht="15" hidden="false" customHeight="false" outlineLevel="0" collapsed="false">
      <c r="A16" s="4" t="s">
        <v>81</v>
      </c>
      <c r="B16" s="13" t="s">
        <v>82</v>
      </c>
      <c r="C16" s="14" t="n">
        <v>0</v>
      </c>
      <c r="D16" s="14" t="n">
        <v>2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1</v>
      </c>
      <c r="K16" s="14" t="n">
        <v>0</v>
      </c>
      <c r="L16" s="9" t="n">
        <f aca="false">SUMPRODUCT(C16:K16,TRANSPOSE(الخدمات!$B$5:$B$13))</f>
        <v>2099</v>
      </c>
      <c r="M16" s="7" t="n">
        <v>1499</v>
      </c>
      <c r="N16" s="9" t="n">
        <f aca="false">L16-M16</f>
        <v>600</v>
      </c>
      <c r="O16" s="11" t="n">
        <f aca="false">IF(L16=0,0,N16/L16)</f>
        <v>0.28585040495474</v>
      </c>
      <c r="P16" s="9" t="n">
        <f aca="false">SUMPRODUCT(C16:K16,TRANSPOSE(الخدمات!$D$5:$D$13))*IF(L16=0,0,M16/L16)</f>
        <v>371.072129585517</v>
      </c>
      <c r="Q16" s="9" t="n">
        <f aca="false">SUMPRODUCT(C16:K16,TRANSPOSE(الخدمات!$E$5:$E$13))</f>
        <v>220</v>
      </c>
      <c r="R16" s="9" t="n">
        <f aca="false">M16-P16-Q16</f>
        <v>907.927870414483</v>
      </c>
      <c r="S16" s="11" t="n">
        <f aca="false">IF(M16=0,0,R16/M16)</f>
        <v>0.60568903963608</v>
      </c>
      <c r="T16" s="13" t="str">
        <f aca="false">IF(S16&gt;=الافتراضات!$B$6,"مقبول","مرفوض")</f>
        <v>مقبول</v>
      </c>
    </row>
    <row r="17" customFormat="false" ht="15" hidden="false" customHeight="false" outlineLevel="0" collapsed="false">
      <c r="A17" s="4" t="s">
        <v>83</v>
      </c>
      <c r="B17" s="13" t="s">
        <v>84</v>
      </c>
      <c r="C17" s="14" t="n">
        <v>0</v>
      </c>
      <c r="D17" s="14" t="n">
        <v>2</v>
      </c>
      <c r="E17" s="14" t="n">
        <v>2</v>
      </c>
      <c r="F17" s="14" t="n">
        <v>0</v>
      </c>
      <c r="G17" s="14" t="n">
        <v>0</v>
      </c>
      <c r="H17" s="14" t="n">
        <v>2</v>
      </c>
      <c r="I17" s="14" t="n">
        <v>0</v>
      </c>
      <c r="J17" s="14" t="n">
        <v>0</v>
      </c>
      <c r="K17" s="14" t="n">
        <v>0</v>
      </c>
      <c r="L17" s="9" t="n">
        <f aca="false">SUMPRODUCT(C17:K17,TRANSPOSE(الخدمات!$B$5:$B$13))</f>
        <v>2500</v>
      </c>
      <c r="M17" s="7" t="n">
        <v>1799</v>
      </c>
      <c r="N17" s="9" t="n">
        <f aca="false">L17-M17</f>
        <v>701</v>
      </c>
      <c r="O17" s="11" t="n">
        <f aca="false">IF(L17=0,0,N17/L17)</f>
        <v>0.2804</v>
      </c>
      <c r="P17" s="9" t="n">
        <f aca="false">SUMPRODUCT(C17:K17,TRANSPOSE(الخدمات!$D$5:$D$13))*IF(L17=0,0,M17/L17)</f>
        <v>489.328</v>
      </c>
      <c r="Q17" s="9" t="n">
        <f aca="false">SUMPRODUCT(C17:K17,TRANSPOSE(الخدمات!$E$5:$E$13))</f>
        <v>210</v>
      </c>
      <c r="R17" s="9" t="n">
        <f aca="false">M17-P17-Q17</f>
        <v>1099.672</v>
      </c>
      <c r="S17" s="11" t="n">
        <f aca="false">IF(M17=0,0,R17/M17)</f>
        <v>0.611268482490272</v>
      </c>
      <c r="T17" s="13" t="str">
        <f aca="false">IF(S17&gt;=الافتراضات!$B$6,"مقبول","مرفوض")</f>
        <v>مقبول</v>
      </c>
    </row>
    <row r="18" customFormat="false" ht="15" hidden="false" customHeight="false" outlineLevel="0" collapsed="false">
      <c r="A18" s="16" t="s">
        <v>85</v>
      </c>
      <c r="B18" s="13" t="s">
        <v>86</v>
      </c>
      <c r="C18" s="14" t="n">
        <v>0</v>
      </c>
      <c r="D18" s="14" t="n">
        <v>2</v>
      </c>
      <c r="E18" s="14" t="n">
        <v>1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1</v>
      </c>
      <c r="L18" s="9" t="n">
        <f aca="false">SUMPRODUCT(C18:K18,TRANSPOSE(الخدمات!$B$5:$B$13))</f>
        <v>2899</v>
      </c>
      <c r="M18" s="7" t="n">
        <v>2199</v>
      </c>
      <c r="N18" s="9" t="n">
        <f aca="false">L18-M18</f>
        <v>700</v>
      </c>
      <c r="O18" s="11" t="n">
        <f aca="false">IF(L18=0,0,N18/L18)</f>
        <v>0.241462573301138</v>
      </c>
      <c r="P18" s="9" t="n">
        <f aca="false">SUMPRODUCT(C18:K18,TRANSPOSE(الخدمات!$D$5:$D$13))*IF(L18=0,0,M18/L18)</f>
        <v>636.868023456364</v>
      </c>
      <c r="Q18" s="9" t="n">
        <f aca="false">SUMPRODUCT(C18:K18,TRANSPOSE(الخدمات!$E$5:$E$13))</f>
        <v>255</v>
      </c>
      <c r="R18" s="9" t="n">
        <f aca="false">M18-P18-Q18</f>
        <v>1307.13197654364</v>
      </c>
      <c r="S18" s="11" t="n">
        <f aca="false">IF(M18=0,0,R18/M18)</f>
        <v>0.594421089833395</v>
      </c>
      <c r="T18" s="13" t="str">
        <f aca="false">IF(S18&gt;=الافتراضات!$B$6,"مقبول","مرفوض")</f>
        <v>مقبول</v>
      </c>
    </row>
    <row r="19" customFormat="false" ht="15" hidden="false" customHeight="false" outlineLevel="0" collapsed="false">
      <c r="A19" s="16" t="s">
        <v>87</v>
      </c>
      <c r="B19" s="13" t="s">
        <v>86</v>
      </c>
      <c r="C19" s="14" t="n">
        <v>0</v>
      </c>
      <c r="D19" s="14" t="n">
        <v>1</v>
      </c>
      <c r="E19" s="14" t="n">
        <v>0</v>
      </c>
      <c r="F19" s="14" t="n">
        <v>1</v>
      </c>
      <c r="G19" s="14" t="n">
        <v>0</v>
      </c>
      <c r="H19" s="14" t="n">
        <v>0</v>
      </c>
      <c r="I19" s="14" t="n">
        <v>1</v>
      </c>
      <c r="J19" s="14" t="n">
        <v>0</v>
      </c>
      <c r="K19" s="14" t="n">
        <v>0</v>
      </c>
      <c r="L19" s="9" t="n">
        <f aca="false">SUMPRODUCT(C19:K19,TRANSPOSE(الخدمات!$B$5:$B$13))</f>
        <v>2199</v>
      </c>
      <c r="M19" s="7" t="n">
        <v>1599</v>
      </c>
      <c r="N19" s="9" t="n">
        <f aca="false">L19-M19</f>
        <v>600</v>
      </c>
      <c r="O19" s="11" t="n">
        <f aca="false">IF(L19=0,0,N19/L19)</f>
        <v>0.272851296043656</v>
      </c>
      <c r="P19" s="9" t="n">
        <f aca="false">SUMPRODUCT(C19:K19,TRANSPOSE(الخدمات!$D$5:$D$13))*IF(L19=0,0,M19/L19)</f>
        <v>523.256207366985</v>
      </c>
      <c r="Q19" s="9" t="n">
        <f aca="false">SUMPRODUCT(C19:K19,TRANSPOSE(الخدمات!$E$5:$E$13))</f>
        <v>185</v>
      </c>
      <c r="R19" s="9" t="n">
        <f aca="false">M19-P19-Q19</f>
        <v>890.743792633015</v>
      </c>
      <c r="S19" s="11" t="n">
        <f aca="false">IF(M19=0,0,R19/M19)</f>
        <v>0.55706303479238</v>
      </c>
      <c r="T19" s="13" t="str">
        <f aca="false">IF(S19&gt;=الافتراضات!$B$6,"مقبول","مرفوض")</f>
        <v>مقبول</v>
      </c>
    </row>
    <row r="20" customFormat="false" ht="15" hidden="false" customHeight="false" outlineLevel="0" collapsed="false">
      <c r="A20" s="16" t="s">
        <v>88</v>
      </c>
      <c r="B20" s="13" t="s">
        <v>86</v>
      </c>
      <c r="C20" s="14" t="n">
        <v>0</v>
      </c>
      <c r="D20" s="14" t="n">
        <v>3</v>
      </c>
      <c r="E20" s="14" t="n">
        <v>1</v>
      </c>
      <c r="F20" s="14" t="n">
        <v>1</v>
      </c>
      <c r="G20" s="14" t="n">
        <v>0</v>
      </c>
      <c r="H20" s="14" t="n">
        <v>0</v>
      </c>
      <c r="I20" s="14" t="n">
        <v>1</v>
      </c>
      <c r="J20" s="14" t="n">
        <v>0</v>
      </c>
      <c r="K20" s="14" t="n">
        <v>1</v>
      </c>
      <c r="L20" s="9" t="n">
        <f aca="false">SUMPRODUCT(C20:K20,TRANSPOSE(الخدمات!$B$5:$B$13))</f>
        <v>5098</v>
      </c>
      <c r="M20" s="7" t="n">
        <v>3299</v>
      </c>
      <c r="N20" s="9" t="n">
        <f aca="false">L20-M20</f>
        <v>1799</v>
      </c>
      <c r="O20" s="11" t="n">
        <f aca="false">IF(L20=0,0,N20/L20)</f>
        <v>0.352883483719106</v>
      </c>
      <c r="P20" s="9" t="n">
        <f aca="false">SUMPRODUCT(C20:K20,TRANSPOSE(الخدمات!$D$5:$D$13))*IF(L20=0,0,M20/L20)</f>
        <v>1008.98407218517</v>
      </c>
      <c r="Q20" s="9" t="n">
        <f aca="false">SUMPRODUCT(C20:K20,TRANSPOSE(الخدمات!$E$5:$E$13))</f>
        <v>440</v>
      </c>
      <c r="R20" s="9" t="n">
        <f aca="false">M20-P20-Q20</f>
        <v>1850.01592781483</v>
      </c>
      <c r="S20" s="11" t="n">
        <f aca="false">IF(M20=0,0,R20/M20)</f>
        <v>0.560780820798675</v>
      </c>
      <c r="T20" s="13" t="str">
        <f aca="false">IF(S20&gt;=الافتراضات!$B$6,"مقبول","مرفوض")</f>
        <v>مقبول</v>
      </c>
    </row>
    <row r="21" customFormat="false" ht="15" hidden="false" customHeight="false" outlineLevel="0" collapsed="false">
      <c r="A21" s="16" t="s">
        <v>89</v>
      </c>
      <c r="B21" s="13" t="s">
        <v>86</v>
      </c>
      <c r="C21" s="14" t="n">
        <v>0</v>
      </c>
      <c r="D21" s="14" t="n">
        <v>3</v>
      </c>
      <c r="E21" s="14" t="n">
        <v>1</v>
      </c>
      <c r="F21" s="14" t="n">
        <v>1</v>
      </c>
      <c r="G21" s="14" t="n">
        <v>0</v>
      </c>
      <c r="H21" s="14" t="n">
        <v>0</v>
      </c>
      <c r="I21" s="14" t="n">
        <v>1</v>
      </c>
      <c r="J21" s="14" t="n">
        <v>0</v>
      </c>
      <c r="K21" s="14" t="n">
        <v>1</v>
      </c>
      <c r="L21" s="9" t="n">
        <f aca="false">SUMPRODUCT(C21:K21,TRANSPOSE(الخدمات!$B$5:$B$13))</f>
        <v>5098</v>
      </c>
      <c r="M21" s="7" t="n">
        <v>3499</v>
      </c>
      <c r="N21" s="9" t="n">
        <f aca="false">L21-M21</f>
        <v>1599</v>
      </c>
      <c r="O21" s="11" t="n">
        <f aca="false">IF(L21=0,0,N21/L21)</f>
        <v>0.313652412710867</v>
      </c>
      <c r="P21" s="9" t="n">
        <f aca="false">SUMPRODUCT(C21:K21,TRANSPOSE(الخدمات!$D$5:$D$13))*IF(L21=0,0,M21/L21)</f>
        <v>1070.15315810122</v>
      </c>
      <c r="Q21" s="9" t="n">
        <f aca="false">SUMPRODUCT(C21:K21,TRANSPOSE(الخدمات!$E$5:$E$13))</f>
        <v>440</v>
      </c>
      <c r="R21" s="9" t="n">
        <f aca="false">M21-P21-Q21</f>
        <v>1988.84684189878</v>
      </c>
      <c r="S21" s="11" t="n">
        <f aca="false">IF(M21=0,0,R21/M21)</f>
        <v>0.568404356072816</v>
      </c>
      <c r="T21" s="13" t="str">
        <f aca="false">IF(S21&gt;=الافتراضات!$B$6,"مقبول","مرفوض")</f>
        <v>مقبول</v>
      </c>
    </row>
    <row r="22" customFormat="false" ht="15" hidden="false" customHeight="false" outlineLevel="0" collapsed="false">
      <c r="A22" s="16" t="s">
        <v>90</v>
      </c>
      <c r="B22" s="13" t="s">
        <v>86</v>
      </c>
      <c r="C22" s="14" t="n">
        <v>0</v>
      </c>
      <c r="D22" s="14" t="n">
        <v>5</v>
      </c>
      <c r="E22" s="14" t="n">
        <v>4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1</v>
      </c>
      <c r="L22" s="9" t="n">
        <f aca="false">SUMPRODUCT(C22:K22,TRANSPOSE(الخدمات!$B$5:$B$13))</f>
        <v>4999</v>
      </c>
      <c r="M22" s="7" t="n">
        <v>3999</v>
      </c>
      <c r="N22" s="9" t="n">
        <f aca="false">L22-M22</f>
        <v>1000</v>
      </c>
      <c r="O22" s="11" t="n">
        <f aca="false">IF(L22=0,0,N22/L22)</f>
        <v>0.2000400080016</v>
      </c>
      <c r="P22" s="9" t="n">
        <f aca="false">SUMPRODUCT(C22:K22,TRANSPOSE(الخدمات!$D$5:$D$13))*IF(L22=0,0,M22/L22)</f>
        <v>959.63200640128</v>
      </c>
      <c r="Q22" s="9" t="n">
        <f aca="false">SUMPRODUCT(C22:K22,TRANSPOSE(الخدمات!$E$5:$E$13))</f>
        <v>420</v>
      </c>
      <c r="R22" s="9" t="n">
        <f aca="false">M22-P22-Q22</f>
        <v>2619.36799359872</v>
      </c>
      <c r="S22" s="11" t="n">
        <f aca="false">IF(M22=0,0,R22/M22)</f>
        <v>0.655005749837139</v>
      </c>
      <c r="T22" s="13" t="str">
        <f aca="false">IF(S22&gt;=الافتراضات!$B$6,"مقبول","مرفوض")</f>
        <v>مقبول</v>
      </c>
    </row>
    <row r="23" customFormat="false" ht="15" hidden="false" customHeight="false" outlineLevel="0" collapsed="false">
      <c r="A23" s="4" t="s">
        <v>91</v>
      </c>
      <c r="B23" s="13" t="s">
        <v>92</v>
      </c>
      <c r="C23" s="14" t="n">
        <v>0</v>
      </c>
      <c r="D23" s="14" t="n">
        <v>10</v>
      </c>
      <c r="E23" s="14" t="n">
        <v>10</v>
      </c>
      <c r="F23" s="14" t="n">
        <v>0</v>
      </c>
      <c r="G23" s="14" t="n">
        <v>0</v>
      </c>
      <c r="H23" s="14" t="n">
        <v>10</v>
      </c>
      <c r="I23" s="14" t="n">
        <v>0</v>
      </c>
      <c r="J23" s="14" t="n">
        <v>0</v>
      </c>
      <c r="K23" s="14" t="n">
        <v>0</v>
      </c>
      <c r="L23" s="9" t="n">
        <f aca="false">SUMPRODUCT(C23:K23,TRANSPOSE(الخدمات!$B$5:$B$13))</f>
        <v>12500</v>
      </c>
      <c r="M23" s="7" t="n">
        <v>8999</v>
      </c>
      <c r="N23" s="9" t="n">
        <f aca="false">L23-M23</f>
        <v>3501</v>
      </c>
      <c r="O23" s="11" t="n">
        <f aca="false">IF(L23=0,0,N23/L23)</f>
        <v>0.28008</v>
      </c>
      <c r="P23" s="9" t="n">
        <f aca="false">SUMPRODUCT(C23:K23,TRANSPOSE(الخدمات!$D$5:$D$13))*IF(L23=0,0,M23/L23)</f>
        <v>2447.728</v>
      </c>
      <c r="Q23" s="9" t="n">
        <f aca="false">SUMPRODUCT(C23:K23,TRANSPOSE(الخدمات!$E$5:$E$13))</f>
        <v>1050</v>
      </c>
      <c r="R23" s="9" t="n">
        <f aca="false">M23-P23-Q23</f>
        <v>5501.272</v>
      </c>
      <c r="S23" s="11" t="n">
        <f aca="false">IF(M23=0,0,R23/M23)</f>
        <v>0.611320368929881</v>
      </c>
      <c r="T23" s="13" t="str">
        <f aca="false">IF(S23&gt;=الافتراضات!$B$6,"مقبول","مرفوض")</f>
        <v>مقبول</v>
      </c>
    </row>
    <row r="24" customFormat="false" ht="15" hidden="false" customHeight="false" outlineLevel="0" collapsed="false">
      <c r="A24" s="17" t="s">
        <v>93</v>
      </c>
      <c r="B24" s="18" t="s">
        <v>94</v>
      </c>
      <c r="C24" s="19" t="n">
        <v>1</v>
      </c>
      <c r="D24" s="19" t="n">
        <v>0</v>
      </c>
      <c r="E24" s="19" t="n">
        <v>0</v>
      </c>
      <c r="F24" s="19" t="n">
        <v>1</v>
      </c>
      <c r="G24" s="19" t="n">
        <v>0</v>
      </c>
      <c r="H24" s="19" t="n">
        <v>1</v>
      </c>
      <c r="I24" s="19" t="n">
        <v>0</v>
      </c>
      <c r="J24" s="19" t="n">
        <v>0</v>
      </c>
      <c r="K24" s="19" t="n">
        <v>0</v>
      </c>
      <c r="L24" s="20" t="n">
        <f aca="false">SUMPRODUCT(C24:K24,TRANSPOSE(الخدمات!$B$5:$B$13))</f>
        <v>1200</v>
      </c>
      <c r="M24" s="21" t="n">
        <v>1300</v>
      </c>
      <c r="N24" s="20" t="n">
        <f aca="false">L24-M24</f>
        <v>-100</v>
      </c>
      <c r="O24" s="22" t="n">
        <f aca="false">IF(L24=0,0,N24/L24)</f>
        <v>-0.0833333333333333</v>
      </c>
      <c r="P24" s="20" t="n">
        <f aca="false">SUMPRODUCT(C24:K24,TRANSPOSE(الخدمات!$D$5:$D$13))*IF(L24=0,0,M24/L24)</f>
        <v>455</v>
      </c>
      <c r="Q24" s="20" t="n">
        <f aca="false">SUMPRODUCT(C24:K24,TRANSPOSE(الخدمات!$E$5:$E$13))</f>
        <v>95</v>
      </c>
      <c r="R24" s="20" t="n">
        <f aca="false">M24-P24-Q24</f>
        <v>750</v>
      </c>
      <c r="S24" s="22" t="n">
        <f aca="false">IF(M24=0,0,R24/M24)</f>
        <v>0.576923076923077</v>
      </c>
      <c r="T24" s="18" t="str">
        <f aca="false">IF(S24&gt;=الافتراضات!$B$6,"مقبول","مرفوض")</f>
        <v>مقبول</v>
      </c>
    </row>
    <row r="25" customFormat="false" ht="15" hidden="false" customHeight="false" outlineLevel="0" collapsed="false">
      <c r="A25" s="17" t="s">
        <v>95</v>
      </c>
      <c r="B25" s="18" t="s">
        <v>94</v>
      </c>
      <c r="C25" s="19" t="n">
        <v>1</v>
      </c>
      <c r="D25" s="19" t="n">
        <v>0</v>
      </c>
      <c r="E25" s="19" t="n">
        <v>1</v>
      </c>
      <c r="F25" s="19" t="n">
        <v>0</v>
      </c>
      <c r="G25" s="19" t="n">
        <v>0</v>
      </c>
      <c r="H25" s="19" t="n">
        <v>1</v>
      </c>
      <c r="I25" s="19" t="n">
        <v>0</v>
      </c>
      <c r="J25" s="19" t="n">
        <v>0</v>
      </c>
      <c r="K25" s="19" t="n">
        <v>0</v>
      </c>
      <c r="L25" s="20" t="n">
        <f aca="false">SUMPRODUCT(C25:K25,TRANSPOSE(الخدمات!$B$5:$B$13))</f>
        <v>1000</v>
      </c>
      <c r="M25" s="21" t="n">
        <v>1000</v>
      </c>
      <c r="N25" s="20" t="n">
        <f aca="false">L25-M25</f>
        <v>0</v>
      </c>
      <c r="O25" s="22" t="n">
        <f aca="false">IF(L25=0,0,N25/L25)</f>
        <v>0</v>
      </c>
      <c r="P25" s="20" t="n">
        <f aca="false">SUMPRODUCT(C25:K25,TRANSPOSE(الخدمات!$D$5:$D$13))*IF(L25=0,0,M25/L25)</f>
        <v>340</v>
      </c>
      <c r="Q25" s="20" t="n">
        <f aca="false">SUMPRODUCT(C25:K25,TRANSPOSE(الخدمات!$E$5:$E$13))</f>
        <v>85</v>
      </c>
      <c r="R25" s="20" t="n">
        <f aca="false">M25-P25-Q25</f>
        <v>575</v>
      </c>
      <c r="S25" s="22" t="n">
        <f aca="false">IF(M25=0,0,R25/M25)</f>
        <v>0.575</v>
      </c>
      <c r="T25" s="18" t="str">
        <f aca="false">IF(S25&gt;=الافتراضات!$B$6,"مقبول","مرفوض")</f>
        <v>مقبول</v>
      </c>
    </row>
    <row r="26" customFormat="false" ht="15" hidden="false" customHeight="false" outlineLevel="0" collapsed="false">
      <c r="A26" s="17" t="s">
        <v>96</v>
      </c>
      <c r="B26" s="18" t="s">
        <v>94</v>
      </c>
      <c r="C26" s="19" t="n">
        <v>1</v>
      </c>
      <c r="D26" s="19" t="n">
        <v>0</v>
      </c>
      <c r="E26" s="19" t="n">
        <v>0</v>
      </c>
      <c r="F26" s="19" t="n">
        <v>1</v>
      </c>
      <c r="G26" s="19" t="n">
        <v>1</v>
      </c>
      <c r="H26" s="19" t="n">
        <v>0</v>
      </c>
      <c r="I26" s="19" t="n">
        <v>0</v>
      </c>
      <c r="J26" s="19" t="n">
        <v>0</v>
      </c>
      <c r="K26" s="19" t="n">
        <v>0</v>
      </c>
      <c r="L26" s="20" t="n">
        <f aca="false">SUMPRODUCT(C26:K26,TRANSPOSE(الخدمات!$B$5:$B$13))</f>
        <v>850</v>
      </c>
      <c r="M26" s="21" t="n">
        <v>850</v>
      </c>
      <c r="N26" s="20" t="n">
        <f aca="false">L26-M26</f>
        <v>0</v>
      </c>
      <c r="O26" s="22" t="n">
        <f aca="false">IF(L26=0,0,N26/L26)</f>
        <v>0</v>
      </c>
      <c r="P26" s="20" t="n">
        <f aca="false">SUMPRODUCT(C26:K26,TRANSPOSE(الخدمات!$D$5:$D$13))*IF(L26=0,0,M26/L26)</f>
        <v>280</v>
      </c>
      <c r="Q26" s="20" t="n">
        <f aca="false">SUMPRODUCT(C26:K26,TRANSPOSE(الخدمات!$E$5:$E$13))</f>
        <v>65</v>
      </c>
      <c r="R26" s="20" t="n">
        <f aca="false">M26-P26-Q26</f>
        <v>505</v>
      </c>
      <c r="S26" s="22" t="n">
        <f aca="false">IF(M26=0,0,R26/M26)</f>
        <v>0.594117647058824</v>
      </c>
      <c r="T26" s="18" t="str">
        <f aca="false">IF(S26&gt;=الافتراضات!$B$6,"مقبول","مرفوض")</f>
        <v>مقبول</v>
      </c>
    </row>
    <row r="27" customFormat="false" ht="15" hidden="false" customHeight="false" outlineLevel="0" collapsed="false">
      <c r="A27" s="17" t="s">
        <v>97</v>
      </c>
      <c r="B27" s="18" t="s">
        <v>94</v>
      </c>
      <c r="C27" s="19" t="n">
        <v>2</v>
      </c>
      <c r="D27" s="19" t="n">
        <v>0</v>
      </c>
      <c r="E27" s="19" t="n">
        <v>1</v>
      </c>
      <c r="F27" s="19" t="n">
        <v>0</v>
      </c>
      <c r="G27" s="19" t="n">
        <v>0</v>
      </c>
      <c r="H27" s="19" t="n">
        <v>0</v>
      </c>
      <c r="I27" s="19" t="n">
        <v>0</v>
      </c>
      <c r="J27" s="19" t="n">
        <v>0</v>
      </c>
      <c r="K27" s="19" t="n">
        <v>1</v>
      </c>
      <c r="L27" s="20" t="n">
        <f aca="false">SUMPRODUCT(C27:K27,TRANSPOSE(الخدمات!$B$5:$B$13))</f>
        <v>2399</v>
      </c>
      <c r="M27" s="21" t="n">
        <v>2000</v>
      </c>
      <c r="N27" s="20" t="n">
        <f aca="false">L27-M27</f>
        <v>399</v>
      </c>
      <c r="O27" s="22" t="n">
        <f aca="false">IF(L27=0,0,N27/L27)</f>
        <v>0.166319299708212</v>
      </c>
      <c r="P27" s="20" t="n">
        <f aca="false">SUMPRODUCT(C27:K27,TRANSPOSE(الخدمات!$D$5:$D$13))*IF(L27=0,0,M27/L27)</f>
        <v>699.958315964985</v>
      </c>
      <c r="Q27" s="20" t="n">
        <f aca="false">SUMPRODUCT(C27:K27,TRANSPOSE(الخدمات!$E$5:$E$13))</f>
        <v>215</v>
      </c>
      <c r="R27" s="20" t="n">
        <f aca="false">M27-P27-Q27</f>
        <v>1085.04168403501</v>
      </c>
      <c r="S27" s="22" t="n">
        <f aca="false">IF(M27=0,0,R27/M27)</f>
        <v>0.542520842017507</v>
      </c>
      <c r="T27" s="18" t="str">
        <f aca="false">IF(S27&gt;=الافتراضات!$B$6,"مقبول","مرفوض")</f>
        <v>مقبول</v>
      </c>
    </row>
    <row r="29" customFormat="false" ht="15" hidden="false" customHeight="false" outlineLevel="0" collapsed="false">
      <c r="A29" s="2" t="s">
        <v>98</v>
      </c>
    </row>
    <row r="30" customFormat="false" ht="15" hidden="false" customHeight="false" outlineLevel="0" collapsed="false">
      <c r="A30" s="2" t="s">
        <v>99</v>
      </c>
    </row>
    <row r="31" customFormat="false" ht="15" hidden="false" customHeight="false" outlineLevel="0" collapsed="false">
      <c r="A31" s="2" t="s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4" min="2" style="0" width="14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1" t="s">
        <v>101</v>
      </c>
    </row>
    <row r="2" customFormat="false" ht="15" hidden="false" customHeight="false" outlineLevel="0" collapsed="false">
      <c r="A2" s="2" t="s">
        <v>102</v>
      </c>
    </row>
    <row r="4" customFormat="false" ht="31.5" hidden="false" customHeight="true" outlineLevel="0" collapsed="false">
      <c r="A4" s="3" t="s">
        <v>103</v>
      </c>
      <c r="B4" s="3" t="s">
        <v>104</v>
      </c>
      <c r="C4" s="3" t="s">
        <v>105</v>
      </c>
      <c r="D4" s="3" t="s">
        <v>106</v>
      </c>
      <c r="E4" s="3" t="s">
        <v>4</v>
      </c>
    </row>
    <row r="5" customFormat="false" ht="15" hidden="false" customHeight="false" outlineLevel="0" collapsed="false">
      <c r="A5" s="4" t="s">
        <v>107</v>
      </c>
      <c r="B5" s="10" t="n">
        <f aca="false">الافتراضات!$B$16</f>
        <v>15000</v>
      </c>
      <c r="C5" s="10" t="n">
        <f aca="false">الافتراضات!$B$16</f>
        <v>15000</v>
      </c>
      <c r="D5" s="10" t="n">
        <f aca="false">الافتراضات!$B$16</f>
        <v>15000</v>
      </c>
      <c r="E5" s="6" t="s">
        <v>108</v>
      </c>
    </row>
    <row r="6" customFormat="false" ht="15" hidden="false" customHeight="false" outlineLevel="0" collapsed="false">
      <c r="A6" s="4" t="s">
        <v>109</v>
      </c>
      <c r="B6" s="7" t="n">
        <v>40</v>
      </c>
      <c r="C6" s="7" t="n">
        <v>25</v>
      </c>
      <c r="D6" s="7" t="n">
        <v>18</v>
      </c>
      <c r="E6" s="6" t="s">
        <v>110</v>
      </c>
    </row>
    <row r="7" customFormat="false" ht="15" hidden="false" customHeight="false" outlineLevel="0" collapsed="false">
      <c r="A7" s="4" t="s">
        <v>111</v>
      </c>
      <c r="B7" s="5" t="n">
        <v>0.65</v>
      </c>
      <c r="C7" s="5" t="n">
        <v>0.75</v>
      </c>
      <c r="D7" s="5" t="n">
        <v>0.85</v>
      </c>
      <c r="E7" s="6" t="s">
        <v>112</v>
      </c>
    </row>
    <row r="8" customFormat="false" ht="15" hidden="false" customHeight="false" outlineLevel="0" collapsed="false">
      <c r="A8" s="4" t="s">
        <v>113</v>
      </c>
      <c r="B8" s="5" t="n">
        <v>0.25</v>
      </c>
      <c r="C8" s="5" t="n">
        <v>0.35</v>
      </c>
      <c r="D8" s="5" t="n">
        <v>0.45</v>
      </c>
      <c r="E8" s="6"/>
    </row>
    <row r="9" customFormat="false" ht="15" hidden="false" customHeight="false" outlineLevel="0" collapsed="false">
      <c r="A9" s="4" t="s">
        <v>114</v>
      </c>
      <c r="B9" s="5" t="n">
        <v>0.6</v>
      </c>
      <c r="C9" s="5" t="n">
        <v>0.7</v>
      </c>
      <c r="D9" s="5" t="n">
        <v>0.8</v>
      </c>
      <c r="E9" s="6" t="s">
        <v>115</v>
      </c>
    </row>
    <row r="10" customFormat="false" ht="15" hidden="false" customHeight="false" outlineLevel="0" collapsed="false">
      <c r="A10" s="4" t="s">
        <v>116</v>
      </c>
      <c r="B10" s="7" t="n">
        <v>320</v>
      </c>
      <c r="C10" s="7" t="n">
        <v>340</v>
      </c>
      <c r="D10" s="7" t="n">
        <v>360</v>
      </c>
      <c r="E10" s="6" t="s">
        <v>117</v>
      </c>
    </row>
    <row r="11" customFormat="false" ht="15" hidden="false" customHeight="false" outlineLevel="0" collapsed="false">
      <c r="A11" s="4" t="s">
        <v>118</v>
      </c>
      <c r="B11" s="5" t="n">
        <v>0.2</v>
      </c>
      <c r="C11" s="5" t="n">
        <v>0.3</v>
      </c>
      <c r="D11" s="5" t="n">
        <v>0.4</v>
      </c>
      <c r="E11" s="6"/>
    </row>
    <row r="12" customFormat="false" ht="15" hidden="false" customHeight="false" outlineLevel="0" collapsed="false">
      <c r="A12" s="4" t="s">
        <v>119</v>
      </c>
      <c r="B12" s="7" t="n">
        <v>1000</v>
      </c>
      <c r="C12" s="7" t="n">
        <v>1100</v>
      </c>
      <c r="D12" s="7" t="n">
        <v>1200</v>
      </c>
      <c r="E12" s="6"/>
    </row>
    <row r="13" customFormat="false" ht="15" hidden="false" customHeight="false" outlineLevel="0" collapsed="false">
      <c r="A13" s="4" t="s">
        <v>120</v>
      </c>
      <c r="B13" s="5" t="n">
        <v>0.58</v>
      </c>
      <c r="C13" s="5" t="n">
        <v>0.58</v>
      </c>
      <c r="D13" s="5" t="n">
        <v>0.58</v>
      </c>
      <c r="E13" s="6" t="s">
        <v>121</v>
      </c>
    </row>
    <row r="14" customFormat="false" ht="15" hidden="false" customHeight="false" outlineLevel="0" collapsed="false">
      <c r="A14" s="4" t="s">
        <v>122</v>
      </c>
      <c r="B14" s="23" t="n">
        <v>2</v>
      </c>
      <c r="C14" s="23" t="n">
        <v>3</v>
      </c>
      <c r="D14" s="23" t="n">
        <v>4</v>
      </c>
      <c r="E14" s="6" t="s">
        <v>123</v>
      </c>
    </row>
    <row r="15" customFormat="false" ht="15" hidden="false" customHeight="false" outlineLevel="0" collapsed="false">
      <c r="A15" s="4" t="s">
        <v>124</v>
      </c>
      <c r="B15" s="7" t="n">
        <v>450</v>
      </c>
      <c r="C15" s="7" t="n">
        <v>500</v>
      </c>
      <c r="D15" s="7" t="n">
        <v>550</v>
      </c>
      <c r="E15" s="6"/>
    </row>
    <row r="16" customFormat="false" ht="15" hidden="false" customHeight="false" outlineLevel="0" collapsed="false">
      <c r="A16" s="4" t="s">
        <v>125</v>
      </c>
      <c r="B16" s="23" t="n">
        <v>2</v>
      </c>
      <c r="C16" s="23" t="n">
        <v>6</v>
      </c>
      <c r="D16" s="23" t="n">
        <v>12</v>
      </c>
      <c r="E16" s="6" t="s">
        <v>126</v>
      </c>
    </row>
    <row r="17" customFormat="false" ht="15" hidden="false" customHeight="false" outlineLevel="0" collapsed="false">
      <c r="A17" s="4" t="s">
        <v>127</v>
      </c>
      <c r="B17" s="7" t="n">
        <v>2200</v>
      </c>
      <c r="C17" s="7" t="n">
        <v>2800</v>
      </c>
      <c r="D17" s="7" t="n">
        <v>3200</v>
      </c>
      <c r="E17" s="6" t="s">
        <v>128</v>
      </c>
    </row>
    <row r="18" customFormat="false" ht="15" hidden="false" customHeight="false" outlineLevel="0" collapsed="false">
      <c r="A18" s="4" t="s">
        <v>129</v>
      </c>
      <c r="B18" s="5" t="n">
        <v>0.58</v>
      </c>
      <c r="C18" s="5" t="n">
        <v>0.58</v>
      </c>
      <c r="D18" s="5" t="n">
        <v>0.58</v>
      </c>
      <c r="E18" s="6"/>
    </row>
    <row r="20" customFormat="false" ht="15" hidden="false" customHeight="false" outlineLevel="0" collapsed="false">
      <c r="A20" s="24" t="s">
        <v>130</v>
      </c>
    </row>
    <row r="21" customFormat="false" ht="15" hidden="false" customHeight="false" outlineLevel="0" collapsed="false">
      <c r="A21" s="4" t="s">
        <v>131</v>
      </c>
      <c r="B21" s="25" t="n">
        <f aca="false">B5/B6</f>
        <v>375</v>
      </c>
      <c r="C21" s="25" t="n">
        <f aca="false">C5/C6</f>
        <v>600</v>
      </c>
      <c r="D21" s="25" t="n">
        <f aca="false">D5/D6</f>
        <v>833.333333333333</v>
      </c>
    </row>
    <row r="22" customFormat="false" ht="15" hidden="false" customHeight="false" outlineLevel="0" collapsed="false">
      <c r="A22" s="4" t="s">
        <v>132</v>
      </c>
      <c r="B22" s="25" t="n">
        <f aca="false">B21*B7</f>
        <v>243.75</v>
      </c>
      <c r="C22" s="25" t="n">
        <f aca="false">C21*C7</f>
        <v>450</v>
      </c>
      <c r="D22" s="25" t="n">
        <f aca="false">D21*D7</f>
        <v>708.333333333333</v>
      </c>
    </row>
    <row r="23" customFormat="false" ht="15" hidden="false" customHeight="false" outlineLevel="0" collapsed="false">
      <c r="A23" s="4" t="s">
        <v>133</v>
      </c>
      <c r="B23" s="25" t="n">
        <f aca="false">B22*B8</f>
        <v>60.9375</v>
      </c>
      <c r="C23" s="25" t="n">
        <f aca="false">C22*C8</f>
        <v>157.5</v>
      </c>
      <c r="D23" s="25" t="n">
        <f aca="false">D22*D8</f>
        <v>318.75</v>
      </c>
    </row>
    <row r="24" customFormat="false" ht="15" hidden="false" customHeight="false" outlineLevel="0" collapsed="false">
      <c r="A24" s="4" t="s">
        <v>134</v>
      </c>
      <c r="B24" s="25" t="n">
        <f aca="false">B23*B9</f>
        <v>36.5625</v>
      </c>
      <c r="C24" s="25" t="n">
        <f aca="false">C23*C9</f>
        <v>110.25</v>
      </c>
      <c r="D24" s="25" t="n">
        <f aca="false">D23*D9</f>
        <v>255</v>
      </c>
    </row>
    <row r="25" customFormat="false" ht="15" hidden="false" customHeight="false" outlineLevel="0" collapsed="false">
      <c r="A25" s="4" t="s">
        <v>135</v>
      </c>
      <c r="B25" s="9" t="n">
        <f aca="false">B24*B10</f>
        <v>11700</v>
      </c>
      <c r="C25" s="9" t="n">
        <f aca="false">C24*C10</f>
        <v>37485</v>
      </c>
      <c r="D25" s="9" t="n">
        <f aca="false">D24*D10</f>
        <v>91800</v>
      </c>
    </row>
    <row r="26" customFormat="false" ht="15" hidden="false" customHeight="false" outlineLevel="0" collapsed="false">
      <c r="A26" s="4" t="s">
        <v>136</v>
      </c>
      <c r="B26" s="25" t="n">
        <f aca="false">B24*B11</f>
        <v>7.3125</v>
      </c>
      <c r="C26" s="25" t="n">
        <f aca="false">C24*C11</f>
        <v>33.075</v>
      </c>
      <c r="D26" s="25" t="n">
        <f aca="false">D24*D11</f>
        <v>102</v>
      </c>
    </row>
    <row r="27" customFormat="false" ht="15" hidden="false" customHeight="false" outlineLevel="0" collapsed="false">
      <c r="A27" s="4" t="s">
        <v>137</v>
      </c>
      <c r="B27" s="9" t="n">
        <f aca="false">B26*B12</f>
        <v>7312.5</v>
      </c>
      <c r="C27" s="9" t="n">
        <f aca="false">C26*C12</f>
        <v>36382.5</v>
      </c>
      <c r="D27" s="9" t="n">
        <f aca="false">D26*D12</f>
        <v>122400</v>
      </c>
    </row>
    <row r="28" customFormat="false" ht="15" hidden="false" customHeight="false" outlineLevel="0" collapsed="false">
      <c r="A28" s="4" t="s">
        <v>138</v>
      </c>
      <c r="B28" s="9" t="n">
        <f aca="false">B25+B27</f>
        <v>19012.5</v>
      </c>
      <c r="C28" s="9" t="n">
        <f aca="false">C25+C27</f>
        <v>73867.5</v>
      </c>
      <c r="D28" s="9" t="n">
        <f aca="false">D25+D27</f>
        <v>214200</v>
      </c>
    </row>
    <row r="29" customFormat="false" ht="15" hidden="false" customHeight="false" outlineLevel="0" collapsed="false">
      <c r="A29" s="4" t="s">
        <v>139</v>
      </c>
      <c r="B29" s="9" t="n">
        <f aca="false">B28*B13</f>
        <v>11027.25</v>
      </c>
      <c r="C29" s="9" t="n">
        <f aca="false">C28*C13</f>
        <v>42843.15</v>
      </c>
      <c r="D29" s="9" t="n">
        <f aca="false">D28*D13</f>
        <v>124236</v>
      </c>
    </row>
    <row r="30" customFormat="false" ht="15" hidden="false" customHeight="false" outlineLevel="0" collapsed="false">
      <c r="A30" s="4" t="s">
        <v>140</v>
      </c>
      <c r="B30" s="9" t="n">
        <f aca="false">B29-B5</f>
        <v>-3972.75</v>
      </c>
      <c r="C30" s="9" t="n">
        <f aca="false">C29-C5</f>
        <v>27843.15</v>
      </c>
      <c r="D30" s="9" t="n">
        <f aca="false">D29-D5</f>
        <v>109236</v>
      </c>
    </row>
    <row r="31" customFormat="false" ht="15" hidden="false" customHeight="false" outlineLevel="0" collapsed="false">
      <c r="A31" s="4" t="s">
        <v>141</v>
      </c>
      <c r="B31" s="9" t="n">
        <f aca="false">IF(B24=0,0,B5/B24)</f>
        <v>410.25641025641</v>
      </c>
      <c r="C31" s="9" t="n">
        <f aca="false">IF(C24=0,0,C5/C24)</f>
        <v>136.054421768707</v>
      </c>
      <c r="D31" s="9" t="n">
        <f aca="false">IF(D24=0,0,D5/D24)</f>
        <v>58.8235294117647</v>
      </c>
    </row>
    <row r="32" customFormat="false" ht="15" hidden="false" customHeight="false" outlineLevel="0" collapsed="false">
      <c r="A32" s="4" t="s">
        <v>142</v>
      </c>
      <c r="B32" s="9" t="n">
        <f aca="false">B28/MAX(B24,1)+B14*B15</f>
        <v>1420</v>
      </c>
      <c r="C32" s="9" t="n">
        <f aca="false">C28/MAX(C24,1)+C14*C15</f>
        <v>2170</v>
      </c>
      <c r="D32" s="9" t="n">
        <f aca="false">D28/MAX(D24,1)+D14*D15</f>
        <v>3040</v>
      </c>
    </row>
    <row r="33" customFormat="false" ht="15" hidden="false" customHeight="false" outlineLevel="0" collapsed="false">
      <c r="A33" s="4" t="s">
        <v>143</v>
      </c>
      <c r="B33" s="26" t="n">
        <f aca="false">IF(B31=0,0,B32/B31)</f>
        <v>3.46125</v>
      </c>
      <c r="C33" s="26" t="n">
        <f aca="false">IF(C31=0,0,C32/C31)</f>
        <v>15.9495</v>
      </c>
      <c r="D33" s="26" t="n">
        <f aca="false">IF(D31=0,0,D32/D31)</f>
        <v>51.68</v>
      </c>
    </row>
    <row r="34" customFormat="false" ht="15" hidden="false" customHeight="false" outlineLevel="0" collapsed="false">
      <c r="A34" s="4" t="s">
        <v>144</v>
      </c>
      <c r="B34" s="9" t="n">
        <f aca="false">B16*B17</f>
        <v>4400</v>
      </c>
      <c r="C34" s="9" t="n">
        <f aca="false">C16*C17</f>
        <v>16800</v>
      </c>
      <c r="D34" s="9" t="n">
        <f aca="false">D16*D17</f>
        <v>38400</v>
      </c>
    </row>
    <row r="35" customFormat="false" ht="15" hidden="false" customHeight="false" outlineLevel="0" collapsed="false">
      <c r="A35" s="4" t="s">
        <v>145</v>
      </c>
      <c r="B35" s="9" t="n">
        <f aca="false">B34*B18</f>
        <v>2552</v>
      </c>
      <c r="C35" s="9" t="n">
        <f aca="false">C34*C18</f>
        <v>9744</v>
      </c>
      <c r="D35" s="9" t="n">
        <f aca="false">D34*D18</f>
        <v>22272</v>
      </c>
    </row>
    <row r="36" customFormat="false" ht="15" hidden="false" customHeight="false" outlineLevel="0" collapsed="false">
      <c r="A36" s="4" t="s">
        <v>146</v>
      </c>
      <c r="B36" s="9" t="n">
        <f aca="false">B30+B35</f>
        <v>-1420.75</v>
      </c>
      <c r="C36" s="9" t="n">
        <f aca="false">C30+C35</f>
        <v>37587.15</v>
      </c>
      <c r="D36" s="9" t="n">
        <f aca="false">D30+D35</f>
        <v>131508</v>
      </c>
    </row>
    <row r="38" customFormat="false" ht="15" hidden="false" customHeight="false" outlineLevel="0" collapsed="false">
      <c r="A38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6"/>
    <col collapsed="false" customWidth="true" hidden="false" outlineLevel="0" max="5" min="5" style="0" width="44"/>
  </cols>
  <sheetData>
    <row r="1" customFormat="false" ht="17.15" hidden="false" customHeight="false" outlineLevel="0" collapsed="false">
      <c r="A1" s="1" t="s">
        <v>148</v>
      </c>
    </row>
    <row r="2" customFormat="false" ht="15" hidden="false" customHeight="false" outlineLevel="0" collapsed="false">
      <c r="A2" s="2" t="s">
        <v>149</v>
      </c>
    </row>
    <row r="4" customFormat="false" ht="31.5" hidden="false" customHeight="true" outlineLevel="0" collapsed="false">
      <c r="A4" s="3" t="s">
        <v>2</v>
      </c>
      <c r="B4" s="3" t="s">
        <v>150</v>
      </c>
      <c r="C4" s="3" t="s">
        <v>151</v>
      </c>
      <c r="D4" s="3" t="s">
        <v>152</v>
      </c>
      <c r="E4" s="3" t="s">
        <v>4</v>
      </c>
    </row>
    <row r="5" customFormat="false" ht="15" hidden="false" customHeight="false" outlineLevel="0" collapsed="false">
      <c r="A5" s="4" t="s">
        <v>153</v>
      </c>
      <c r="B5" s="23" t="n">
        <v>8</v>
      </c>
      <c r="C5" s="23" t="n">
        <v>9</v>
      </c>
      <c r="D5" s="12"/>
      <c r="E5" s="6" t="s">
        <v>154</v>
      </c>
    </row>
    <row r="6" customFormat="false" ht="15" hidden="false" customHeight="false" outlineLevel="0" collapsed="false">
      <c r="A6" s="4" t="s">
        <v>155</v>
      </c>
      <c r="B6" s="23" t="n">
        <v>4</v>
      </c>
      <c r="C6" s="23" t="n">
        <v>13</v>
      </c>
      <c r="D6" s="12"/>
      <c r="E6" s="6" t="s">
        <v>156</v>
      </c>
    </row>
    <row r="7" customFormat="false" ht="15" hidden="false" customHeight="false" outlineLevel="0" collapsed="false">
      <c r="A7" s="4" t="s">
        <v>157</v>
      </c>
      <c r="B7" s="23" t="n">
        <v>0</v>
      </c>
      <c r="C7" s="27" t="n">
        <v>7.5</v>
      </c>
      <c r="D7" s="12"/>
      <c r="E7" s="6" t="s">
        <v>158</v>
      </c>
    </row>
    <row r="8" customFormat="false" ht="15" hidden="false" customHeight="false" outlineLevel="0" collapsed="false">
      <c r="A8" s="4" t="s">
        <v>159</v>
      </c>
      <c r="B8" s="23" t="n">
        <v>1</v>
      </c>
      <c r="C8" s="23" t="n">
        <v>1</v>
      </c>
      <c r="D8" s="12"/>
      <c r="E8" s="6" t="s">
        <v>160</v>
      </c>
    </row>
    <row r="9" customFormat="false" ht="15" hidden="false" customHeight="false" outlineLevel="0" collapsed="false">
      <c r="A9" s="4" t="s">
        <v>161</v>
      </c>
      <c r="B9" s="27" t="n">
        <v>1.25</v>
      </c>
      <c r="C9" s="27" t="n">
        <v>1.25</v>
      </c>
      <c r="D9" s="12"/>
      <c r="E9" s="6" t="s">
        <v>162</v>
      </c>
    </row>
    <row r="10" customFormat="false" ht="15" hidden="false" customHeight="false" outlineLevel="0" collapsed="false">
      <c r="A10" s="4" t="s">
        <v>163</v>
      </c>
      <c r="B10" s="5" t="n">
        <v>0.65</v>
      </c>
      <c r="C10" s="5" t="n">
        <v>0.65</v>
      </c>
      <c r="D10" s="12"/>
      <c r="E10" s="6" t="s">
        <v>164</v>
      </c>
    </row>
    <row r="11" customFormat="false" ht="15" hidden="false" customHeight="false" outlineLevel="0" collapsed="false">
      <c r="A11" s="4" t="s">
        <v>165</v>
      </c>
      <c r="B11" s="23" t="n">
        <v>4</v>
      </c>
      <c r="C11" s="23" t="n">
        <v>4</v>
      </c>
      <c r="D11" s="12"/>
      <c r="E11" s="6" t="s">
        <v>166</v>
      </c>
    </row>
    <row r="12" customFormat="false" ht="15" hidden="false" customHeight="false" outlineLevel="0" collapsed="false">
      <c r="A12" s="4" t="s">
        <v>167</v>
      </c>
      <c r="B12" s="27" t="n">
        <v>1.25</v>
      </c>
      <c r="C12" s="27" t="n">
        <v>1.25</v>
      </c>
      <c r="D12" s="12"/>
      <c r="E12" s="6"/>
    </row>
    <row r="13" customFormat="false" ht="15" hidden="false" customHeight="false" outlineLevel="0" collapsed="false">
      <c r="A13" s="4" t="s">
        <v>168</v>
      </c>
      <c r="B13" s="28" t="n">
        <f aca="false">B5*3+B6*3+B7</f>
        <v>36</v>
      </c>
      <c r="C13" s="28" t="n">
        <f aca="false">C5*3+C6*3+C7</f>
        <v>73.5</v>
      </c>
      <c r="D13" s="28" t="n">
        <f aca="false">B13+C13</f>
        <v>109.5</v>
      </c>
    </row>
    <row r="14" customFormat="false" ht="15" hidden="false" customHeight="false" outlineLevel="0" collapsed="false">
      <c r="A14" s="4" t="s">
        <v>169</v>
      </c>
      <c r="B14" s="28" t="n">
        <f aca="false">B13*4.33</f>
        <v>155.88</v>
      </c>
      <c r="C14" s="28" t="n">
        <f aca="false">C13*4.33</f>
        <v>318.255</v>
      </c>
      <c r="D14" s="28" t="n">
        <f aca="false">B14+C14</f>
        <v>474.135</v>
      </c>
    </row>
    <row r="15" customFormat="false" ht="15" hidden="false" customHeight="false" outlineLevel="0" collapsed="false">
      <c r="A15" s="4" t="s">
        <v>170</v>
      </c>
      <c r="B15" s="25" t="n">
        <f aca="false">B14*B8/B9</f>
        <v>124.704</v>
      </c>
      <c r="C15" s="25" t="n">
        <f aca="false">C14*C8/C9</f>
        <v>254.604</v>
      </c>
      <c r="D15" s="25" t="n">
        <f aca="false">B15+C15</f>
        <v>379.308</v>
      </c>
    </row>
    <row r="16" customFormat="false" ht="15" hidden="false" customHeight="false" outlineLevel="0" collapsed="false">
      <c r="A16" s="4" t="s">
        <v>171</v>
      </c>
      <c r="B16" s="25" t="n">
        <f aca="false">B15*B10</f>
        <v>81.0576</v>
      </c>
      <c r="C16" s="25" t="n">
        <f aca="false">C15*C10</f>
        <v>165.4926</v>
      </c>
      <c r="D16" s="25" t="n">
        <f aca="false">B16+C16</f>
        <v>246.5502</v>
      </c>
    </row>
    <row r="17" customFormat="false" ht="15" hidden="false" customHeight="false" outlineLevel="0" collapsed="false">
      <c r="A17" s="4" t="s">
        <v>172</v>
      </c>
      <c r="B17" s="25" t="n">
        <f aca="false">B14*B11/B12</f>
        <v>498.816</v>
      </c>
      <c r="C17" s="25" t="n">
        <f aca="false">C14*C11/C12</f>
        <v>1018.416</v>
      </c>
      <c r="D17" s="25" t="n">
        <f aca="false">B17+C17</f>
        <v>1517.232</v>
      </c>
    </row>
    <row r="18" customFormat="false" ht="15" hidden="false" customHeight="false" outlineLevel="0" collapsed="false">
      <c r="A18" s="4" t="s">
        <v>173</v>
      </c>
      <c r="B18" s="25" t="n">
        <f aca="false">B17*B10</f>
        <v>324.2304</v>
      </c>
      <c r="C18" s="25" t="n">
        <f aca="false">C17*C10</f>
        <v>661.9704</v>
      </c>
      <c r="D18" s="25" t="n">
        <f aca="false">B18+C18</f>
        <v>986.2008</v>
      </c>
    </row>
    <row r="19" customFormat="false" ht="15" hidden="false" customHeight="false" outlineLevel="0" collapsed="false">
      <c r="A19" s="4" t="s">
        <v>174</v>
      </c>
      <c r="B19" s="9" t="n">
        <f aca="false">B16*500</f>
        <v>40528.8</v>
      </c>
      <c r="C19" s="9" t="n">
        <f aca="false">C16*500</f>
        <v>82746.3</v>
      </c>
      <c r="D19" s="9" t="n">
        <f aca="false">B19+C19</f>
        <v>123275.1</v>
      </c>
    </row>
    <row r="21" customFormat="false" ht="15" hidden="false" customHeight="false" outlineLevel="0" collapsed="false">
      <c r="A21" s="2" t="s">
        <v>175</v>
      </c>
    </row>
    <row r="22" customFormat="false" ht="15" hidden="false" customHeight="false" outlineLevel="0" collapsed="false">
      <c r="A22" s="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4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5" min="4" style="0" width="13"/>
    <col collapsed="false" customWidth="true" hidden="false" outlineLevel="0" max="7" min="6" style="0" width="11"/>
    <col collapsed="false" customWidth="true" hidden="false" outlineLevel="0" max="8" min="8" style="0" width="13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177</v>
      </c>
    </row>
    <row r="2" customFormat="false" ht="15" hidden="false" customHeight="false" outlineLevel="0" collapsed="false">
      <c r="A2" s="2" t="s">
        <v>178</v>
      </c>
    </row>
    <row r="4" customFormat="false" ht="31.5" hidden="false" customHeight="true" outlineLevel="0" collapsed="false">
      <c r="A4" s="3" t="s">
        <v>2</v>
      </c>
      <c r="B4" s="3" t="s">
        <v>3</v>
      </c>
      <c r="C4" s="3"/>
      <c r="D4" s="3" t="s">
        <v>4</v>
      </c>
    </row>
    <row r="5" customFormat="false" ht="26.85" hidden="false" customHeight="false" outlineLevel="0" collapsed="false">
      <c r="A5" s="4" t="s">
        <v>179</v>
      </c>
      <c r="B5" s="5" t="n">
        <v>0.1</v>
      </c>
      <c r="D5" s="6" t="s">
        <v>180</v>
      </c>
    </row>
    <row r="6" customFormat="false" ht="15" hidden="false" customHeight="false" outlineLevel="0" collapsed="false">
      <c r="A6" s="4" t="s">
        <v>181</v>
      </c>
      <c r="B6" s="5" t="n">
        <v>0.12</v>
      </c>
      <c r="D6" s="6" t="s">
        <v>182</v>
      </c>
    </row>
    <row r="7" customFormat="false" ht="15" hidden="false" customHeight="false" outlineLevel="0" collapsed="false">
      <c r="A7" s="4" t="s">
        <v>183</v>
      </c>
      <c r="B7" s="5" t="n">
        <v>0.15</v>
      </c>
      <c r="D7" s="6"/>
    </row>
    <row r="8" customFormat="false" ht="15" hidden="false" customHeight="false" outlineLevel="0" collapsed="false">
      <c r="A8" s="4" t="s">
        <v>184</v>
      </c>
      <c r="B8" s="5" t="n">
        <v>0.05</v>
      </c>
      <c r="D8" s="6" t="s">
        <v>185</v>
      </c>
    </row>
    <row r="9" customFormat="false" ht="39.55" hidden="false" customHeight="false" outlineLevel="0" collapsed="false">
      <c r="A9" s="4" t="s">
        <v>186</v>
      </c>
      <c r="B9" s="23" t="n">
        <v>2</v>
      </c>
      <c r="D9" s="6" t="s">
        <v>187</v>
      </c>
    </row>
    <row r="10" customFormat="false" ht="15" hidden="false" customHeight="false" outlineLevel="0" collapsed="false">
      <c r="A10" s="4" t="s">
        <v>188</v>
      </c>
      <c r="B10" s="23" t="n">
        <v>25</v>
      </c>
      <c r="D10" s="6" t="s">
        <v>189</v>
      </c>
    </row>
    <row r="12" customFormat="false" ht="31.5" hidden="false" customHeight="true" outlineLevel="0" collapsed="false">
      <c r="A12" s="3" t="s">
        <v>190</v>
      </c>
      <c r="B12" s="3" t="s">
        <v>191</v>
      </c>
      <c r="C12" s="3"/>
      <c r="D12" s="3" t="s">
        <v>32</v>
      </c>
      <c r="E12" s="3" t="s">
        <v>192</v>
      </c>
      <c r="F12" s="3" t="s">
        <v>193</v>
      </c>
      <c r="G12" s="3" t="s">
        <v>194</v>
      </c>
      <c r="H12" s="3" t="s">
        <v>195</v>
      </c>
      <c r="I12" s="3" t="s">
        <v>196</v>
      </c>
      <c r="J12" s="3" t="s">
        <v>197</v>
      </c>
      <c r="K12" s="3" t="s">
        <v>198</v>
      </c>
      <c r="L12" s="3" t="s">
        <v>199</v>
      </c>
    </row>
    <row r="13" customFormat="false" ht="15" hidden="false" customHeight="false" outlineLevel="0" collapsed="false">
      <c r="A13" s="4" t="s">
        <v>70</v>
      </c>
      <c r="B13" s="13" t="s">
        <v>200</v>
      </c>
      <c r="D13" s="10" t="n">
        <f aca="false">الباقات!M8</f>
        <v>729</v>
      </c>
      <c r="E13" s="10" t="n">
        <f aca="false">الباقات!R8</f>
        <v>423.858823529412</v>
      </c>
      <c r="F13" s="9" t="n">
        <f aca="false">D13*$B$5</f>
        <v>72.9</v>
      </c>
      <c r="G13" s="9" t="n">
        <f aca="false">E13-F13</f>
        <v>350.958823529412</v>
      </c>
      <c r="H13" s="11" t="n">
        <f aca="false">IF(D13=0,0,G13/D13)</f>
        <v>0.481424997982732</v>
      </c>
      <c r="I13" s="9" t="n">
        <f aca="false">D13*IF(B13="A",$B$7,$B$5)</f>
        <v>109.35</v>
      </c>
      <c r="J13" s="9" t="n">
        <f aca="false">E13-I13</f>
        <v>314.508823529412</v>
      </c>
      <c r="K13" s="11" t="n">
        <f aca="false">IF(D13=0,0,J13/D13)</f>
        <v>0.431424997982732</v>
      </c>
      <c r="L13" s="13" t="str">
        <f aca="false">IF(K13&gt;=الافتراضات!$B$6,"يتحمل","لا يتحمل")</f>
        <v>يتحمل</v>
      </c>
    </row>
    <row r="14" customFormat="false" ht="15" hidden="false" customHeight="false" outlineLevel="0" collapsed="false">
      <c r="A14" s="4" t="s">
        <v>72</v>
      </c>
      <c r="B14" s="13" t="s">
        <v>200</v>
      </c>
      <c r="D14" s="10" t="n">
        <f aca="false">الباقات!M9</f>
        <v>999</v>
      </c>
      <c r="E14" s="10" t="n">
        <f aca="false">الباقات!R9</f>
        <v>622.272</v>
      </c>
      <c r="F14" s="9" t="n">
        <f aca="false">D14*$B$5</f>
        <v>99.9</v>
      </c>
      <c r="G14" s="9" t="n">
        <f aca="false">E14-F14</f>
        <v>522.372</v>
      </c>
      <c r="H14" s="11" t="n">
        <f aca="false">IF(D14=0,0,G14/D14)</f>
        <v>0.522894894894895</v>
      </c>
      <c r="I14" s="9" t="n">
        <f aca="false">D14*IF(B14="A",$B$7,$B$5)</f>
        <v>149.85</v>
      </c>
      <c r="J14" s="9" t="n">
        <f aca="false">E14-I14</f>
        <v>472.422</v>
      </c>
      <c r="K14" s="11" t="n">
        <f aca="false">IF(D14=0,0,J14/D14)</f>
        <v>0.472894894894895</v>
      </c>
      <c r="L14" s="13" t="str">
        <f aca="false">IF(K14&gt;=الافتراضات!$B$6,"يتحمل","لا يتحمل")</f>
        <v>يتحمل</v>
      </c>
    </row>
    <row r="15" customFormat="false" ht="15" hidden="false" customHeight="false" outlineLevel="0" collapsed="false">
      <c r="A15" s="4" t="s">
        <v>73</v>
      </c>
      <c r="B15" s="13" t="s">
        <v>200</v>
      </c>
      <c r="D15" s="10" t="n">
        <f aca="false">الباقات!M10</f>
        <v>1199</v>
      </c>
      <c r="E15" s="10" t="n">
        <f aca="false">الباقات!R10</f>
        <v>749.2625</v>
      </c>
      <c r="F15" s="9" t="n">
        <f aca="false">D15*$B$5</f>
        <v>119.9</v>
      </c>
      <c r="G15" s="9" t="n">
        <f aca="false">E15-F15</f>
        <v>629.3625</v>
      </c>
      <c r="H15" s="11" t="n">
        <f aca="false">IF(D15=0,0,G15/D15)</f>
        <v>0.524906171809842</v>
      </c>
      <c r="I15" s="9" t="n">
        <f aca="false">D15*IF(B15="A",$B$7,$B$5)</f>
        <v>179.85</v>
      </c>
      <c r="J15" s="9" t="n">
        <f aca="false">E15-I15</f>
        <v>569.4125</v>
      </c>
      <c r="K15" s="11" t="n">
        <f aca="false">IF(D15=0,0,J15/D15)</f>
        <v>0.474906171809842</v>
      </c>
      <c r="L15" s="13" t="str">
        <f aca="false">IF(K15&gt;=الافتراضات!$B$6,"يتحمل","لا يتحمل")</f>
        <v>يتحمل</v>
      </c>
    </row>
    <row r="16" customFormat="false" ht="15" hidden="false" customHeight="false" outlineLevel="0" collapsed="false">
      <c r="A16" s="4" t="s">
        <v>74</v>
      </c>
      <c r="B16" s="13" t="s">
        <v>200</v>
      </c>
      <c r="D16" s="10" t="n">
        <f aca="false">الباقات!M11</f>
        <v>1499</v>
      </c>
      <c r="E16" s="10" t="n">
        <f aca="false">الباقات!R11</f>
        <v>881.863157894737</v>
      </c>
      <c r="F16" s="9" t="n">
        <f aca="false">D16*$B$5</f>
        <v>149.9</v>
      </c>
      <c r="G16" s="9" t="n">
        <f aca="false">E16-F16</f>
        <v>731.963157894737</v>
      </c>
      <c r="H16" s="11" t="n">
        <f aca="false">IF(D16=0,0,G16/D16)</f>
        <v>0.48830097257821</v>
      </c>
      <c r="I16" s="9" t="n">
        <f aca="false">D16*IF(B16="A",$B$7,$B$5)</f>
        <v>224.85</v>
      </c>
      <c r="J16" s="9" t="n">
        <f aca="false">E16-I16</f>
        <v>657.013157894737</v>
      </c>
      <c r="K16" s="11" t="n">
        <f aca="false">IF(D16=0,0,J16/D16)</f>
        <v>0.43830097257821</v>
      </c>
      <c r="L16" s="13" t="str">
        <f aca="false">IF(K16&gt;=الافتراضات!$B$6,"يتحمل","لا يتحمل")</f>
        <v>يتحمل</v>
      </c>
    </row>
    <row r="17" customFormat="false" ht="15" hidden="false" customHeight="false" outlineLevel="0" collapsed="false">
      <c r="A17" s="4" t="s">
        <v>76</v>
      </c>
      <c r="B17" s="13" t="s">
        <v>200</v>
      </c>
      <c r="D17" s="10" t="n">
        <f aca="false">الباقات!M12</f>
        <v>1799</v>
      </c>
      <c r="E17" s="10" t="n">
        <f aca="false">الباقات!R12</f>
        <v>1139.22222222222</v>
      </c>
      <c r="F17" s="9" t="n">
        <f aca="false">D17*$B$5</f>
        <v>179.9</v>
      </c>
      <c r="G17" s="9" t="n">
        <f aca="false">E17-F17</f>
        <v>959.322222222222</v>
      </c>
      <c r="H17" s="11" t="n">
        <f aca="false">IF(D17=0,0,G17/D17)</f>
        <v>0.533253041813353</v>
      </c>
      <c r="I17" s="9" t="n">
        <f aca="false">D17*IF(B17="A",$B$7,$B$5)</f>
        <v>269.85</v>
      </c>
      <c r="J17" s="9" t="n">
        <f aca="false">E17-I17</f>
        <v>869.372222222222</v>
      </c>
      <c r="K17" s="11" t="n">
        <f aca="false">IF(D17=0,0,J17/D17)</f>
        <v>0.483253041813353</v>
      </c>
      <c r="L17" s="13" t="str">
        <f aca="false">IF(K17&gt;=الافتراضات!$B$6,"يتحمل","لا يتحمل")</f>
        <v>يتحمل</v>
      </c>
    </row>
    <row r="18" customFormat="false" ht="15" hidden="false" customHeight="false" outlineLevel="0" collapsed="false">
      <c r="A18" s="4" t="s">
        <v>77</v>
      </c>
      <c r="B18" s="13" t="s">
        <v>200</v>
      </c>
      <c r="D18" s="10" t="n">
        <f aca="false">الباقات!M13</f>
        <v>999</v>
      </c>
      <c r="E18" s="10" t="n">
        <f aca="false">الباقات!R13</f>
        <v>679</v>
      </c>
      <c r="F18" s="9" t="n">
        <f aca="false">D18*$B$5</f>
        <v>99.9</v>
      </c>
      <c r="G18" s="9" t="n">
        <f aca="false">E18-F18</f>
        <v>579.1</v>
      </c>
      <c r="H18" s="11" t="n">
        <f aca="false">IF(D18=0,0,G18/D18)</f>
        <v>0.57967967967968</v>
      </c>
      <c r="I18" s="9" t="n">
        <f aca="false">D18*IF(B18="A",$B$7,$B$5)</f>
        <v>149.85</v>
      </c>
      <c r="J18" s="9" t="n">
        <f aca="false">E18-I18</f>
        <v>529.15</v>
      </c>
      <c r="K18" s="11" t="n">
        <f aca="false">IF(D18=0,0,J18/D18)</f>
        <v>0.52967967967968</v>
      </c>
      <c r="L18" s="13" t="str">
        <f aca="false">IF(K18&gt;=الافتراضات!$B$6,"يتحمل","لا يتحمل")</f>
        <v>يتحمل</v>
      </c>
    </row>
    <row r="19" customFormat="false" ht="15" hidden="false" customHeight="false" outlineLevel="0" collapsed="false">
      <c r="A19" s="4" t="s">
        <v>79</v>
      </c>
      <c r="B19" s="13" t="s">
        <v>200</v>
      </c>
      <c r="D19" s="10" t="n">
        <f aca="false">الباقات!M14</f>
        <v>1299</v>
      </c>
      <c r="E19" s="10" t="n">
        <f aca="false">الباقات!R14</f>
        <v>819</v>
      </c>
      <c r="F19" s="9" t="n">
        <f aca="false">D19*$B$5</f>
        <v>129.9</v>
      </c>
      <c r="G19" s="9" t="n">
        <f aca="false">E19-F19</f>
        <v>689.1</v>
      </c>
      <c r="H19" s="11" t="n">
        <f aca="false">IF(D19=0,0,G19/D19)</f>
        <v>0.530484988452656</v>
      </c>
      <c r="I19" s="9" t="n">
        <f aca="false">D19*IF(B19="A",$B$7,$B$5)</f>
        <v>194.85</v>
      </c>
      <c r="J19" s="9" t="n">
        <f aca="false">E19-I19</f>
        <v>624.15</v>
      </c>
      <c r="K19" s="11" t="n">
        <f aca="false">IF(D19=0,0,J19/D19)</f>
        <v>0.480484988452656</v>
      </c>
      <c r="L19" s="13" t="str">
        <f aca="false">IF(K19&gt;=الافتراضات!$B$6,"يتحمل","لا يتحمل")</f>
        <v>يتحمل</v>
      </c>
    </row>
    <row r="20" customFormat="false" ht="15" hidden="false" customHeight="false" outlineLevel="0" collapsed="false">
      <c r="A20" s="4" t="s">
        <v>80</v>
      </c>
      <c r="B20" s="13" t="s">
        <v>200</v>
      </c>
      <c r="D20" s="10" t="n">
        <f aca="false">الباقات!M15</f>
        <v>899</v>
      </c>
      <c r="E20" s="10" t="n">
        <f aca="false">الباقات!R15</f>
        <v>628.380952380952</v>
      </c>
      <c r="F20" s="9" t="n">
        <f aca="false">D20*$B$5</f>
        <v>89.9</v>
      </c>
      <c r="G20" s="9" t="n">
        <f aca="false">E20-F20</f>
        <v>538.480952380952</v>
      </c>
      <c r="H20" s="11" t="n">
        <f aca="false">IF(D20=0,0,G20/D20)</f>
        <v>0.598977700090047</v>
      </c>
      <c r="I20" s="9" t="n">
        <f aca="false">D20*IF(B20="A",$B$7,$B$5)</f>
        <v>134.85</v>
      </c>
      <c r="J20" s="9" t="n">
        <f aca="false">E20-I20</f>
        <v>493.530952380952</v>
      </c>
      <c r="K20" s="11" t="n">
        <f aca="false">IF(D20=0,0,J20/D20)</f>
        <v>0.548977700090047</v>
      </c>
      <c r="L20" s="13" t="str">
        <f aca="false">IF(K20&gt;=الافتراضات!$B$6,"يتحمل","لا يتحمل")</f>
        <v>يتحمل</v>
      </c>
    </row>
    <row r="21" customFormat="false" ht="15" hidden="false" customHeight="false" outlineLevel="0" collapsed="false">
      <c r="A21" s="4" t="s">
        <v>81</v>
      </c>
      <c r="B21" s="13" t="s">
        <v>200</v>
      </c>
      <c r="D21" s="10" t="n">
        <f aca="false">الباقات!M16</f>
        <v>1499</v>
      </c>
      <c r="E21" s="10" t="n">
        <f aca="false">الباقات!R16</f>
        <v>907.927870414483</v>
      </c>
      <c r="F21" s="9" t="n">
        <f aca="false">D21*$B$5</f>
        <v>149.9</v>
      </c>
      <c r="G21" s="9" t="n">
        <f aca="false">E21-F21</f>
        <v>758.027870414483</v>
      </c>
      <c r="H21" s="11" t="n">
        <f aca="false">IF(D21=0,0,G21/D21)</f>
        <v>0.50568903963608</v>
      </c>
      <c r="I21" s="9" t="n">
        <f aca="false">D21*IF(B21="A",$B$7,$B$5)</f>
        <v>224.85</v>
      </c>
      <c r="J21" s="9" t="n">
        <f aca="false">E21-I21</f>
        <v>683.077870414483</v>
      </c>
      <c r="K21" s="11" t="n">
        <f aca="false">IF(D21=0,0,J21/D21)</f>
        <v>0.455689039636079</v>
      </c>
      <c r="L21" s="13" t="str">
        <f aca="false">IF(K21&gt;=الافتراضات!$B$6,"يتحمل","لا يتحمل")</f>
        <v>يتحمل</v>
      </c>
    </row>
    <row r="22" customFormat="false" ht="15" hidden="false" customHeight="false" outlineLevel="0" collapsed="false">
      <c r="A22" s="4" t="s">
        <v>83</v>
      </c>
      <c r="B22" s="13" t="s">
        <v>200</v>
      </c>
      <c r="D22" s="10" t="n">
        <f aca="false">الباقات!M17</f>
        <v>1799</v>
      </c>
      <c r="E22" s="10" t="n">
        <f aca="false">الباقات!R17</f>
        <v>1099.672</v>
      </c>
      <c r="F22" s="9" t="n">
        <f aca="false">D22*$B$5</f>
        <v>179.9</v>
      </c>
      <c r="G22" s="9" t="n">
        <f aca="false">E22-F22</f>
        <v>919.772</v>
      </c>
      <c r="H22" s="11" t="n">
        <f aca="false">IF(D22=0,0,G22/D22)</f>
        <v>0.511268482490272</v>
      </c>
      <c r="I22" s="9" t="n">
        <f aca="false">D22*IF(B22="A",$B$7,$B$5)</f>
        <v>269.85</v>
      </c>
      <c r="J22" s="9" t="n">
        <f aca="false">E22-I22</f>
        <v>829.822</v>
      </c>
      <c r="K22" s="11" t="n">
        <f aca="false">IF(D22=0,0,J22/D22)</f>
        <v>0.461268482490272</v>
      </c>
      <c r="L22" s="13" t="str">
        <f aca="false">IF(K22&gt;=الافتراضات!$B$6,"يتحمل","لا يتحمل")</f>
        <v>يتحمل</v>
      </c>
    </row>
    <row r="23" customFormat="false" ht="15" hidden="false" customHeight="false" outlineLevel="0" collapsed="false">
      <c r="A23" s="4" t="s">
        <v>85</v>
      </c>
      <c r="B23" s="13" t="s">
        <v>201</v>
      </c>
      <c r="D23" s="10" t="n">
        <f aca="false">الباقات!M18</f>
        <v>2199</v>
      </c>
      <c r="E23" s="10" t="n">
        <f aca="false">الباقات!R18</f>
        <v>1307.13197654364</v>
      </c>
      <c r="F23" s="9" t="n">
        <f aca="false">D23*$B$5</f>
        <v>219.9</v>
      </c>
      <c r="G23" s="9" t="n">
        <f aca="false">E23-F23</f>
        <v>1087.23197654364</v>
      </c>
      <c r="H23" s="11" t="n">
        <f aca="false">IF(D23=0,0,G23/D23)</f>
        <v>0.494421089833395</v>
      </c>
      <c r="I23" s="9" t="n">
        <f aca="false">D23*IF(B23="A",$B$7,$B$5)</f>
        <v>219.9</v>
      </c>
      <c r="J23" s="9" t="n">
        <f aca="false">E23-I23</f>
        <v>1087.23197654364</v>
      </c>
      <c r="K23" s="11" t="n">
        <f aca="false">IF(D23=0,0,J23/D23)</f>
        <v>0.494421089833395</v>
      </c>
      <c r="L23" s="13" t="str">
        <f aca="false">IF(K23&gt;=الافتراضات!$B$6,"يتحمل","لا يتحمل")</f>
        <v>يتحمل</v>
      </c>
    </row>
    <row r="24" customFormat="false" ht="15" hidden="false" customHeight="false" outlineLevel="0" collapsed="false">
      <c r="A24" s="4" t="s">
        <v>87</v>
      </c>
      <c r="B24" s="13" t="s">
        <v>201</v>
      </c>
      <c r="D24" s="10" t="n">
        <f aca="false">الباقات!M19</f>
        <v>1599</v>
      </c>
      <c r="E24" s="10" t="n">
        <f aca="false">الباقات!R19</f>
        <v>890.743792633015</v>
      </c>
      <c r="F24" s="9" t="n">
        <f aca="false">D24*$B$5</f>
        <v>159.9</v>
      </c>
      <c r="G24" s="9" t="n">
        <f aca="false">E24-F24</f>
        <v>730.843792633015</v>
      </c>
      <c r="H24" s="11" t="n">
        <f aca="false">IF(D24=0,0,G24/D24)</f>
        <v>0.45706303479238</v>
      </c>
      <c r="I24" s="9" t="n">
        <f aca="false">D24*IF(B24="A",$B$7,$B$5)</f>
        <v>159.9</v>
      </c>
      <c r="J24" s="9" t="n">
        <f aca="false">E24-I24</f>
        <v>730.843792633015</v>
      </c>
      <c r="K24" s="11" t="n">
        <f aca="false">IF(D24=0,0,J24/D24)</f>
        <v>0.45706303479238</v>
      </c>
      <c r="L24" s="13" t="str">
        <f aca="false">IF(K24&gt;=الافتراضات!$B$6,"يتحمل","لا يتحمل")</f>
        <v>يتحمل</v>
      </c>
    </row>
    <row r="25" customFormat="false" ht="15" hidden="false" customHeight="false" outlineLevel="0" collapsed="false">
      <c r="A25" s="4" t="s">
        <v>88</v>
      </c>
      <c r="B25" s="13" t="s">
        <v>201</v>
      </c>
      <c r="D25" s="10" t="n">
        <f aca="false">الباقات!M20</f>
        <v>3299</v>
      </c>
      <c r="E25" s="10" t="n">
        <f aca="false">الباقات!R20</f>
        <v>1850.01592781483</v>
      </c>
      <c r="F25" s="9" t="n">
        <f aca="false">D25*$B$5</f>
        <v>329.9</v>
      </c>
      <c r="G25" s="9" t="n">
        <f aca="false">E25-F25</f>
        <v>1520.11592781483</v>
      </c>
      <c r="H25" s="11" t="n">
        <f aca="false">IF(D25=0,0,G25/D25)</f>
        <v>0.460780820798675</v>
      </c>
      <c r="I25" s="9" t="n">
        <f aca="false">D25*IF(B25="A",$B$7,$B$5)</f>
        <v>329.9</v>
      </c>
      <c r="J25" s="9" t="n">
        <f aca="false">E25-I25</f>
        <v>1520.11592781483</v>
      </c>
      <c r="K25" s="11" t="n">
        <f aca="false">IF(D25=0,0,J25/D25)</f>
        <v>0.460780820798675</v>
      </c>
      <c r="L25" s="13" t="str">
        <f aca="false">IF(K25&gt;=الافتراضات!$B$6,"يتحمل","لا يتحمل")</f>
        <v>يتحمل</v>
      </c>
    </row>
    <row r="26" customFormat="false" ht="15" hidden="false" customHeight="false" outlineLevel="0" collapsed="false">
      <c r="A26" s="4" t="s">
        <v>89</v>
      </c>
      <c r="B26" s="13" t="s">
        <v>201</v>
      </c>
      <c r="D26" s="10" t="n">
        <f aca="false">الباقات!M21</f>
        <v>3499</v>
      </c>
      <c r="E26" s="10" t="n">
        <f aca="false">الباقات!R21</f>
        <v>1988.84684189878</v>
      </c>
      <c r="F26" s="9" t="n">
        <f aca="false">D26*$B$5</f>
        <v>349.9</v>
      </c>
      <c r="G26" s="9" t="n">
        <f aca="false">E26-F26</f>
        <v>1638.94684189878</v>
      </c>
      <c r="H26" s="11" t="n">
        <f aca="false">IF(D26=0,0,G26/D26)</f>
        <v>0.468404356072816</v>
      </c>
      <c r="I26" s="9" t="n">
        <f aca="false">D26*IF(B26="A",$B$7,$B$5)</f>
        <v>349.9</v>
      </c>
      <c r="J26" s="9" t="n">
        <f aca="false">E26-I26</f>
        <v>1638.94684189878</v>
      </c>
      <c r="K26" s="11" t="n">
        <f aca="false">IF(D26=0,0,J26/D26)</f>
        <v>0.468404356072816</v>
      </c>
      <c r="L26" s="13" t="str">
        <f aca="false">IF(K26&gt;=الافتراضات!$B$6,"يتحمل","لا يتحمل")</f>
        <v>يتحمل</v>
      </c>
    </row>
    <row r="27" customFormat="false" ht="15" hidden="false" customHeight="false" outlineLevel="0" collapsed="false">
      <c r="A27" s="4" t="s">
        <v>90</v>
      </c>
      <c r="B27" s="13" t="s">
        <v>201</v>
      </c>
      <c r="D27" s="10" t="n">
        <f aca="false">الباقات!M22</f>
        <v>3999</v>
      </c>
      <c r="E27" s="10" t="n">
        <f aca="false">الباقات!R22</f>
        <v>2619.36799359872</v>
      </c>
      <c r="F27" s="9" t="n">
        <f aca="false">D27*$B$5</f>
        <v>399.9</v>
      </c>
      <c r="G27" s="9" t="n">
        <f aca="false">E27-F27</f>
        <v>2219.46799359872</v>
      </c>
      <c r="H27" s="11" t="n">
        <f aca="false">IF(D27=0,0,G27/D27)</f>
        <v>0.555005749837139</v>
      </c>
      <c r="I27" s="9" t="n">
        <f aca="false">D27*IF(B27="A",$B$7,$B$5)</f>
        <v>399.9</v>
      </c>
      <c r="J27" s="9" t="n">
        <f aca="false">E27-I27</f>
        <v>2219.46799359872</v>
      </c>
      <c r="K27" s="11" t="n">
        <f aca="false">IF(D27=0,0,J27/D27)</f>
        <v>0.555005749837139</v>
      </c>
      <c r="L27" s="13" t="str">
        <f aca="false">IF(K27&gt;=الافتراضات!$B$6,"يتحمل","لا يتحمل")</f>
        <v>يتحمل</v>
      </c>
    </row>
    <row r="28" customFormat="false" ht="15" hidden="false" customHeight="false" outlineLevel="0" collapsed="false">
      <c r="A28" s="4" t="s">
        <v>91</v>
      </c>
      <c r="B28" s="13" t="s">
        <v>200</v>
      </c>
      <c r="D28" s="10" t="n">
        <f aca="false">الباقات!M23</f>
        <v>8999</v>
      </c>
      <c r="E28" s="10" t="n">
        <f aca="false">الباقات!R23</f>
        <v>5501.272</v>
      </c>
      <c r="F28" s="9" t="n">
        <f aca="false">D28*$B$5</f>
        <v>899.9</v>
      </c>
      <c r="G28" s="9" t="n">
        <f aca="false">E28-F28</f>
        <v>4601.372</v>
      </c>
      <c r="H28" s="11" t="n">
        <f aca="false">IF(D28=0,0,G28/D28)</f>
        <v>0.511320368929881</v>
      </c>
      <c r="I28" s="9" t="n">
        <f aca="false">D28*IF(B28="A",$B$7,$B$5)</f>
        <v>1349.85</v>
      </c>
      <c r="J28" s="9" t="n">
        <f aca="false">E28-I28</f>
        <v>4151.422</v>
      </c>
      <c r="K28" s="11" t="n">
        <f aca="false">IF(D28=0,0,J28/D28)</f>
        <v>0.461320368929881</v>
      </c>
      <c r="L28" s="13" t="str">
        <f aca="false">IF(K28&gt;=الافتراضات!$B$6,"يتحمل","لا يتحمل")</f>
        <v>يتحمل</v>
      </c>
    </row>
    <row r="29" customFormat="false" ht="15" hidden="false" customHeight="false" outlineLevel="0" collapsed="false">
      <c r="A29" s="4" t="s">
        <v>202</v>
      </c>
      <c r="B29" s="13" t="s">
        <v>201</v>
      </c>
      <c r="D29" s="10" t="n">
        <f aca="false">الخدمات!B8</f>
        <v>500</v>
      </c>
      <c r="E29" s="10" t="n">
        <f aca="false">الخدمات!F8</f>
        <v>275</v>
      </c>
      <c r="F29" s="9" t="n">
        <f aca="false">D29*$B$5</f>
        <v>50</v>
      </c>
      <c r="G29" s="9" t="n">
        <f aca="false">E29-F29</f>
        <v>225</v>
      </c>
      <c r="H29" s="11" t="n">
        <f aca="false">IF(D29=0,0,G29/D29)</f>
        <v>0.45</v>
      </c>
      <c r="I29" s="9" t="n">
        <f aca="false">D29*$B$5</f>
        <v>50</v>
      </c>
      <c r="J29" s="9" t="n">
        <f aca="false">E29-I29</f>
        <v>225</v>
      </c>
      <c r="K29" s="11" t="n">
        <f aca="false">IF(D29=0,0,J29/D29)</f>
        <v>0.45</v>
      </c>
      <c r="L29" s="13" t="str">
        <f aca="false">IF(K29&gt;=الافتراضات!$B$6,"يتحمل","لا يتحمل")</f>
        <v>يتحمل</v>
      </c>
    </row>
    <row r="30" customFormat="false" ht="15" hidden="false" customHeight="false" outlineLevel="0" collapsed="false">
      <c r="A30" s="4" t="s">
        <v>203</v>
      </c>
      <c r="B30" s="13" t="s">
        <v>201</v>
      </c>
      <c r="D30" s="10" t="n">
        <f aca="false">الخدمات!B10</f>
        <v>550</v>
      </c>
      <c r="E30" s="10" t="n">
        <f aca="false">الخدمات!F10</f>
        <v>280</v>
      </c>
      <c r="F30" s="9" t="n">
        <f aca="false">D30*$B$5</f>
        <v>55</v>
      </c>
      <c r="G30" s="9" t="n">
        <f aca="false">E30-F30</f>
        <v>225</v>
      </c>
      <c r="H30" s="11" t="n">
        <f aca="false">IF(D30=0,0,G30/D30)</f>
        <v>0.409090909090909</v>
      </c>
      <c r="I30" s="9" t="n">
        <f aca="false">D30*$B$5</f>
        <v>55</v>
      </c>
      <c r="J30" s="9" t="n">
        <f aca="false">E30-I30</f>
        <v>225</v>
      </c>
      <c r="K30" s="11" t="n">
        <f aca="false">IF(D30=0,0,J30/D30)</f>
        <v>0.409090909090909</v>
      </c>
      <c r="L30" s="13" t="str">
        <f aca="false">IF(K30&gt;=الافتراضات!$B$6,"يتحمل","لا يتحمل")</f>
        <v>يتحمل</v>
      </c>
    </row>
    <row r="31" customFormat="false" ht="15" hidden="false" customHeight="false" outlineLevel="0" collapsed="false">
      <c r="A31" s="4" t="s">
        <v>204</v>
      </c>
      <c r="B31" s="13" t="s">
        <v>201</v>
      </c>
      <c r="D31" s="10" t="n">
        <f aca="false">الخدمات!B11</f>
        <v>1299</v>
      </c>
      <c r="E31" s="10" t="n">
        <f aca="false">الخدمات!F11</f>
        <v>659.4</v>
      </c>
      <c r="F31" s="9" t="n">
        <f aca="false">D31*$B$5</f>
        <v>129.9</v>
      </c>
      <c r="G31" s="9" t="n">
        <f aca="false">E31-F31</f>
        <v>529.5</v>
      </c>
      <c r="H31" s="11" t="n">
        <f aca="false">IF(D31=0,0,G31/D31)</f>
        <v>0.407621247113164</v>
      </c>
      <c r="I31" s="9" t="n">
        <f aca="false">D31*$B$5</f>
        <v>129.9</v>
      </c>
      <c r="J31" s="9" t="n">
        <f aca="false">E31-I31</f>
        <v>529.5</v>
      </c>
      <c r="K31" s="11" t="n">
        <f aca="false">IF(D31=0,0,J31/D31)</f>
        <v>0.407621247113164</v>
      </c>
      <c r="L31" s="13" t="str">
        <f aca="false">IF(K31&gt;=الافتراضات!$B$6,"يتحمل","لا يتحمل")</f>
        <v>يتحمل</v>
      </c>
    </row>
    <row r="32" customFormat="false" ht="15" hidden="false" customHeight="false" outlineLevel="0" collapsed="false">
      <c r="A32" s="4" t="s">
        <v>205</v>
      </c>
      <c r="B32" s="13" t="s">
        <v>201</v>
      </c>
      <c r="D32" s="10" t="n">
        <f aca="false">الخدمات!B12</f>
        <v>1299</v>
      </c>
      <c r="E32" s="10" t="n">
        <f aca="false">الخدمات!F12</f>
        <v>639.4</v>
      </c>
      <c r="F32" s="9" t="n">
        <f aca="false">D32*$B$5</f>
        <v>129.9</v>
      </c>
      <c r="G32" s="9" t="n">
        <f aca="false">E32-F32</f>
        <v>509.5</v>
      </c>
      <c r="H32" s="11" t="n">
        <f aca="false">IF(D32=0,0,G32/D32)</f>
        <v>0.392224788298691</v>
      </c>
      <c r="I32" s="9" t="n">
        <f aca="false">D32*$B$5</f>
        <v>129.9</v>
      </c>
      <c r="J32" s="9" t="n">
        <f aca="false">E32-I32</f>
        <v>509.5</v>
      </c>
      <c r="K32" s="11" t="n">
        <f aca="false">IF(D32=0,0,J32/D32)</f>
        <v>0.392224788298691</v>
      </c>
      <c r="L32" s="13" t="str">
        <f aca="false">IF(K32&gt;=الافتراضات!$B$6,"يتحمل","لا يتحمل")</f>
        <v>يتحمل</v>
      </c>
    </row>
    <row r="33" customFormat="false" ht="15" hidden="false" customHeight="false" outlineLevel="0" collapsed="false">
      <c r="A33" s="4" t="s">
        <v>206</v>
      </c>
      <c r="B33" s="13" t="s">
        <v>201</v>
      </c>
      <c r="D33" s="10" t="n">
        <f aca="false">الخدمات!B13</f>
        <v>1799</v>
      </c>
      <c r="E33" s="10" t="n">
        <f aca="false">الخدمات!F13</f>
        <v>919.4</v>
      </c>
      <c r="F33" s="9" t="n">
        <f aca="false">D33*$B$5</f>
        <v>179.9</v>
      </c>
      <c r="G33" s="9" t="n">
        <f aca="false">E33-F33</f>
        <v>739.5</v>
      </c>
      <c r="H33" s="11" t="n">
        <f aca="false">IF(D33=0,0,G33/D33)</f>
        <v>0.411061700944969</v>
      </c>
      <c r="I33" s="9" t="n">
        <f aca="false">D33*$B$5</f>
        <v>179.9</v>
      </c>
      <c r="J33" s="9" t="n">
        <f aca="false">E33-I33</f>
        <v>739.5</v>
      </c>
      <c r="K33" s="11" t="n">
        <f aca="false">IF(D33=0,0,J33/D33)</f>
        <v>0.411061700944969</v>
      </c>
      <c r="L33" s="13" t="str">
        <f aca="false">IF(K33&gt;=الافتراضات!$B$6,"يتحمل","لا يتحمل")</f>
        <v>يتحمل</v>
      </c>
    </row>
    <row r="35" customFormat="false" ht="15" hidden="false" customHeight="false" outlineLevel="0" collapsed="false">
      <c r="A35" s="2" t="s">
        <v>207</v>
      </c>
    </row>
    <row r="37" customFormat="false" ht="15" hidden="false" customHeight="false" outlineLevel="0" collapsed="false">
      <c r="A37" s="24" t="s">
        <v>208</v>
      </c>
    </row>
    <row r="38" customFormat="false" ht="31.5" hidden="false" customHeight="true" outlineLevel="0" collapsed="false">
      <c r="A38" s="3" t="s">
        <v>209</v>
      </c>
      <c r="B38" s="3" t="s">
        <v>210</v>
      </c>
      <c r="C38" s="3" t="s">
        <v>191</v>
      </c>
      <c r="D38" s="3" t="s">
        <v>211</v>
      </c>
      <c r="E38" s="3" t="s">
        <v>212</v>
      </c>
      <c r="F38" s="3" t="s">
        <v>213</v>
      </c>
      <c r="G38" s="3" t="s">
        <v>214</v>
      </c>
      <c r="H38" s="3" t="s">
        <v>215</v>
      </c>
      <c r="I38" s="3" t="s">
        <v>216</v>
      </c>
      <c r="J38" s="3" t="s">
        <v>217</v>
      </c>
      <c r="K38" s="3" t="s">
        <v>218</v>
      </c>
      <c r="L38" s="3" t="s">
        <v>219</v>
      </c>
    </row>
    <row r="39" customFormat="false" ht="15" hidden="false" customHeight="false" outlineLevel="0" collapsed="false">
      <c r="A39" s="4" t="s">
        <v>220</v>
      </c>
      <c r="B39" s="23" t="n">
        <v>6</v>
      </c>
      <c r="C39" s="29" t="s">
        <v>200</v>
      </c>
      <c r="D39" s="7" t="n">
        <v>899</v>
      </c>
      <c r="E39" s="7" t="n">
        <v>628</v>
      </c>
      <c r="F39" s="11" t="n">
        <f aca="false">IF(C39="A",IF(B39&gt;=10,$B$7,IF(B39&gt;=5,$B$6,$B$5)),$B$5)</f>
        <v>0.12</v>
      </c>
      <c r="G39" s="9" t="n">
        <f aca="false">B39*D39*F39</f>
        <v>647.28</v>
      </c>
      <c r="H39" s="30" t="n">
        <v>500</v>
      </c>
      <c r="I39" s="9" t="n">
        <f aca="false">G39+H39</f>
        <v>1147.28</v>
      </c>
      <c r="J39" s="9" t="n">
        <f aca="false">B39*E39-I39</f>
        <v>2620.72</v>
      </c>
      <c r="K39" s="8" t="n">
        <v>12</v>
      </c>
      <c r="L39" s="9" t="n">
        <f aca="false">K39*D39*$B$8</f>
        <v>539.4</v>
      </c>
    </row>
    <row r="40" customFormat="false" ht="15" hidden="false" customHeight="false" outlineLevel="0" collapsed="false">
      <c r="A40" s="4" t="s">
        <v>221</v>
      </c>
      <c r="B40" s="23" t="n">
        <v>3</v>
      </c>
      <c r="C40" s="29" t="s">
        <v>201</v>
      </c>
      <c r="D40" s="7" t="n">
        <v>1599</v>
      </c>
      <c r="E40" s="7" t="n">
        <v>891</v>
      </c>
      <c r="F40" s="11" t="n">
        <f aca="false">IF(C40="A",IF(B40&gt;=10,$B$7,IF(B40&gt;=5,$B$6,$B$5)),$B$5)</f>
        <v>0.1</v>
      </c>
      <c r="G40" s="9" t="n">
        <f aca="false">B40*D40*F40</f>
        <v>479.7</v>
      </c>
      <c r="H40" s="30" t="n">
        <v>0</v>
      </c>
      <c r="I40" s="9" t="n">
        <f aca="false">G40+H40</f>
        <v>479.7</v>
      </c>
      <c r="J40" s="9" t="n">
        <f aca="false">B40*E40-I40</f>
        <v>2193.3</v>
      </c>
      <c r="K40" s="8" t="n">
        <v>0</v>
      </c>
      <c r="L40" s="9" t="n">
        <f aca="false">K40*D40*$B$8</f>
        <v>0</v>
      </c>
    </row>
    <row r="41" customFormat="false" ht="15" hidden="false" customHeight="false" outlineLevel="0" collapsed="false">
      <c r="A41" s="4" t="s">
        <v>222</v>
      </c>
      <c r="B41" s="23" t="n">
        <v>5</v>
      </c>
      <c r="C41" s="29" t="s">
        <v>201</v>
      </c>
      <c r="D41" s="7" t="n">
        <v>2800</v>
      </c>
      <c r="E41" s="7" t="n">
        <v>1700</v>
      </c>
      <c r="F41" s="11" t="n">
        <f aca="false">IF(C41="A",IF(B41&gt;=10,$B$7,IF(B41&gt;=5,$B$6,$B$5)),$B$5)</f>
        <v>0.1</v>
      </c>
      <c r="G41" s="9" t="n">
        <f aca="false">B41*D41*F41</f>
        <v>1400</v>
      </c>
      <c r="H41" s="30" t="n">
        <v>500</v>
      </c>
      <c r="I41" s="9" t="n">
        <f aca="false">G41+H41</f>
        <v>1900</v>
      </c>
      <c r="J41" s="9" t="n">
        <f aca="false">B41*E41-I41</f>
        <v>6600</v>
      </c>
      <c r="K41" s="8" t="n">
        <v>0</v>
      </c>
      <c r="L41" s="9" t="n">
        <f aca="false">K41*D41*$B$8</f>
        <v>0</v>
      </c>
    </row>
    <row r="42" customFormat="false" ht="15" hidden="false" customHeight="false" outlineLevel="0" collapsed="false">
      <c r="A42" s="4" t="s">
        <v>223</v>
      </c>
      <c r="B42" s="23" t="n">
        <v>2</v>
      </c>
      <c r="C42" s="29" t="s">
        <v>200</v>
      </c>
      <c r="D42" s="7" t="n">
        <v>999</v>
      </c>
      <c r="E42" s="7" t="n">
        <v>622</v>
      </c>
      <c r="F42" s="11" t="n">
        <f aca="false">IF(C42="A",IF(B42&gt;=10,$B$7,IF(B42&gt;=5,$B$6,$B$5)),$B$5)</f>
        <v>0.1</v>
      </c>
      <c r="G42" s="9" t="n">
        <f aca="false">B42*D42*F42</f>
        <v>199.8</v>
      </c>
      <c r="H42" s="30" t="n">
        <v>0</v>
      </c>
      <c r="I42" s="9" t="n">
        <f aca="false">G42+H42</f>
        <v>199.8</v>
      </c>
      <c r="J42" s="9" t="n">
        <f aca="false">B42*E42-I42</f>
        <v>1044.2</v>
      </c>
      <c r="K42" s="8" t="n">
        <v>0</v>
      </c>
      <c r="L42" s="9" t="n">
        <f aca="false">K42*D42*$B$8</f>
        <v>0</v>
      </c>
    </row>
    <row r="44" customFormat="false" ht="15" hidden="false" customHeight="false" outlineLevel="0" collapsed="false">
      <c r="A44" s="2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2026-09-02T13:00:59Z</dcterms:created>
  <dc:creator>openpyxl</dc:creator>
  <dc:description/>
  <dc:language>en-US</dc:language>
  <cp:lastModifiedBy/>
  <dcterms:modified xsi:type="dcterms:W3CDTF">2026-09-02T13:00:59Z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